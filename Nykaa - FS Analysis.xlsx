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-Projects\3 Statement Automation\"/>
    </mc:Choice>
  </mc:AlternateContent>
  <xr:revisionPtr revIDLastSave="0" documentId="13_ncr:1_{AC295AA7-6EDA-42E7-B573-A64F17B948EF}" xr6:coauthVersionLast="47" xr6:coauthVersionMax="47" xr10:uidLastSave="{00000000-0000-0000-0000-000000000000}"/>
  <bookViews>
    <workbookView xWindow="-110" yWindow="-110" windowWidth="19420" windowHeight="10420" firstSheet="3" activeTab="6" xr2:uid="{19687459-C264-4D9A-8078-C0555162658C}"/>
  </bookViews>
  <sheets>
    <sheet name="Financials&gt;" sheetId="4" r:id="rId1"/>
    <sheet name="HistoricalFS" sheetId="3" r:id="rId2"/>
    <sheet name="Ratio Analysis" sheetId="7" r:id="rId3"/>
    <sheet name="Forecasting" sheetId="8" r:id="rId4"/>
    <sheet name="Common Size Statements" sheetId="10" r:id="rId5"/>
    <sheet name="Peer Analysis" sheetId="9" r:id="rId6"/>
    <sheet name="WACC" sheetId="12" r:id="rId7"/>
    <sheet name="Data&gt;" sheetId="2" r:id="rId8"/>
    <sheet name="Data Sheet" sheetId="1" r:id="rId9"/>
    <sheet name="Cash Flow Data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8" l="1"/>
  <c r="I15" i="8"/>
  <c r="I14" i="8"/>
  <c r="J14" i="8" s="1"/>
  <c r="I13" i="8"/>
  <c r="I12" i="8"/>
  <c r="I11" i="8"/>
  <c r="J11" i="8" s="1"/>
  <c r="I10" i="8"/>
  <c r="J10" i="8" s="1"/>
  <c r="I9" i="8"/>
  <c r="J9" i="8" s="1"/>
  <c r="I8" i="8"/>
  <c r="I7" i="8"/>
  <c r="J8" i="8" s="1"/>
  <c r="I6" i="8"/>
  <c r="J7" i="8" s="1"/>
  <c r="I5" i="8"/>
  <c r="J5" i="8" s="1"/>
  <c r="I4" i="8"/>
  <c r="N16" i="8"/>
  <c r="N15" i="8"/>
  <c r="N14" i="8"/>
  <c r="O14" i="8" s="1"/>
  <c r="N13" i="8"/>
  <c r="O5" i="8"/>
  <c r="O13" i="8"/>
  <c r="O12" i="8"/>
  <c r="O11" i="8"/>
  <c r="O10" i="8"/>
  <c r="O9" i="8"/>
  <c r="O8" i="8"/>
  <c r="O7" i="8"/>
  <c r="O6" i="8"/>
  <c r="M5" i="8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2" i="8"/>
  <c r="J16" i="8"/>
  <c r="J15" i="8"/>
  <c r="H5" i="8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2" i="8"/>
  <c r="B2" i="8"/>
  <c r="E5" i="8"/>
  <c r="E12" i="8"/>
  <c r="E11" i="8"/>
  <c r="E10" i="8"/>
  <c r="E9" i="8"/>
  <c r="E8" i="8"/>
  <c r="E7" i="8"/>
  <c r="E6" i="8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B5" i="8"/>
  <c r="B6" i="8" s="1"/>
  <c r="B7" i="8" s="1"/>
  <c r="B8" i="8" s="1"/>
  <c r="B9" i="8" s="1"/>
  <c r="B10" i="8" s="1"/>
  <c r="B11" i="8" s="1"/>
  <c r="B12" i="8" s="1"/>
  <c r="D19" i="8" s="1"/>
  <c r="K3" i="7"/>
  <c r="N24" i="7"/>
  <c r="N23" i="7"/>
  <c r="N22" i="7"/>
  <c r="N21" i="7"/>
  <c r="M22" i="7"/>
  <c r="M23" i="7"/>
  <c r="M24" i="7"/>
  <c r="M21" i="7"/>
  <c r="N40" i="7"/>
  <c r="N39" i="7"/>
  <c r="N38" i="7"/>
  <c r="N36" i="7"/>
  <c r="N35" i="7"/>
  <c r="N34" i="7"/>
  <c r="N33" i="7"/>
  <c r="N31" i="7"/>
  <c r="N30" i="7"/>
  <c r="N29" i="7"/>
  <c r="N28" i="7"/>
  <c r="N27" i="7"/>
  <c r="N25" i="7"/>
  <c r="N19" i="7"/>
  <c r="N18" i="7"/>
  <c r="N17" i="7"/>
  <c r="N15" i="7"/>
  <c r="N14" i="7"/>
  <c r="N13" i="7"/>
  <c r="N12" i="7"/>
  <c r="N11" i="7"/>
  <c r="N9" i="7"/>
  <c r="N8" i="7"/>
  <c r="N7" i="7"/>
  <c r="N6" i="7"/>
  <c r="N5" i="7"/>
  <c r="M40" i="7"/>
  <c r="M39" i="7"/>
  <c r="M38" i="7"/>
  <c r="M36" i="7"/>
  <c r="M35" i="7"/>
  <c r="M34" i="7"/>
  <c r="M33" i="7"/>
  <c r="M31" i="7"/>
  <c r="M30" i="7"/>
  <c r="M29" i="7"/>
  <c r="M28" i="7"/>
  <c r="M27" i="7"/>
  <c r="M25" i="7"/>
  <c r="M19" i="7"/>
  <c r="M18" i="7"/>
  <c r="M17" i="7"/>
  <c r="M15" i="7"/>
  <c r="M14" i="7"/>
  <c r="M13" i="7"/>
  <c r="M12" i="7"/>
  <c r="M11" i="7"/>
  <c r="M9" i="7"/>
  <c r="M8" i="7"/>
  <c r="M7" i="7"/>
  <c r="M6" i="7"/>
  <c r="M5" i="7"/>
  <c r="K40" i="7"/>
  <c r="J40" i="7"/>
  <c r="I40" i="7"/>
  <c r="H40" i="7"/>
  <c r="G40" i="7"/>
  <c r="F40" i="7"/>
  <c r="E40" i="7"/>
  <c r="D40" i="7"/>
  <c r="K39" i="7"/>
  <c r="J39" i="7"/>
  <c r="I39" i="7"/>
  <c r="H39" i="7"/>
  <c r="G39" i="7"/>
  <c r="F39" i="7"/>
  <c r="E39" i="7"/>
  <c r="D39" i="7"/>
  <c r="K38" i="7"/>
  <c r="J38" i="7"/>
  <c r="I38" i="7"/>
  <c r="H38" i="7"/>
  <c r="G38" i="7"/>
  <c r="F38" i="7"/>
  <c r="E38" i="7"/>
  <c r="D38" i="7"/>
  <c r="C40" i="7"/>
  <c r="C39" i="7"/>
  <c r="C38" i="7"/>
  <c r="C36" i="7"/>
  <c r="K35" i="7"/>
  <c r="J35" i="7"/>
  <c r="I35" i="7"/>
  <c r="H35" i="7"/>
  <c r="G35" i="7"/>
  <c r="F35" i="7"/>
  <c r="E35" i="7"/>
  <c r="D35" i="7"/>
  <c r="K34" i="7"/>
  <c r="J34" i="7"/>
  <c r="I34" i="7"/>
  <c r="H34" i="7"/>
  <c r="G34" i="7"/>
  <c r="F34" i="7"/>
  <c r="E34" i="7"/>
  <c r="D34" i="7"/>
  <c r="K33" i="7"/>
  <c r="K36" i="7" s="1"/>
  <c r="J33" i="7"/>
  <c r="J36" i="7" s="1"/>
  <c r="I33" i="7"/>
  <c r="I36" i="7" s="1"/>
  <c r="H33" i="7"/>
  <c r="H36" i="7" s="1"/>
  <c r="G33" i="7"/>
  <c r="G36" i="7" s="1"/>
  <c r="F33" i="7"/>
  <c r="F36" i="7" s="1"/>
  <c r="E33" i="7"/>
  <c r="E36" i="7" s="1"/>
  <c r="D33" i="7"/>
  <c r="D36" i="7" s="1"/>
  <c r="C35" i="7"/>
  <c r="C34" i="7"/>
  <c r="C33" i="7"/>
  <c r="K31" i="7"/>
  <c r="J31" i="7"/>
  <c r="I31" i="7"/>
  <c r="H31" i="7"/>
  <c r="G31" i="7"/>
  <c r="F31" i="7"/>
  <c r="E31" i="7"/>
  <c r="D31" i="7"/>
  <c r="K30" i="7"/>
  <c r="J30" i="7"/>
  <c r="I30" i="7"/>
  <c r="H30" i="7"/>
  <c r="G30" i="7"/>
  <c r="F30" i="7"/>
  <c r="E30" i="7"/>
  <c r="D30" i="7"/>
  <c r="K29" i="7"/>
  <c r="J29" i="7"/>
  <c r="I29" i="7"/>
  <c r="H29" i="7"/>
  <c r="G29" i="7"/>
  <c r="F29" i="7"/>
  <c r="E29" i="7"/>
  <c r="D29" i="7"/>
  <c r="K28" i="7"/>
  <c r="J28" i="7"/>
  <c r="I28" i="7"/>
  <c r="H28" i="7"/>
  <c r="G28" i="7"/>
  <c r="F28" i="7"/>
  <c r="E28" i="7"/>
  <c r="D28" i="7"/>
  <c r="K27" i="7"/>
  <c r="J27" i="7"/>
  <c r="I27" i="7"/>
  <c r="H27" i="7"/>
  <c r="G27" i="7"/>
  <c r="F27" i="7"/>
  <c r="E27" i="7"/>
  <c r="D27" i="7"/>
  <c r="C31" i="7"/>
  <c r="C30" i="7"/>
  <c r="C29" i="7"/>
  <c r="C28" i="7"/>
  <c r="C25" i="7"/>
  <c r="C27" i="7"/>
  <c r="K25" i="7"/>
  <c r="J25" i="7"/>
  <c r="I25" i="7"/>
  <c r="H25" i="7"/>
  <c r="G25" i="7"/>
  <c r="F25" i="7"/>
  <c r="E25" i="7"/>
  <c r="D25" i="7"/>
  <c r="I24" i="7"/>
  <c r="G24" i="7"/>
  <c r="K23" i="7"/>
  <c r="J23" i="7"/>
  <c r="I23" i="7"/>
  <c r="H23" i="7"/>
  <c r="G23" i="7"/>
  <c r="F23" i="7"/>
  <c r="E23" i="7"/>
  <c r="D23" i="7"/>
  <c r="K22" i="7"/>
  <c r="K24" i="7" s="1"/>
  <c r="J22" i="7"/>
  <c r="J24" i="7" s="1"/>
  <c r="I22" i="7"/>
  <c r="H22" i="7"/>
  <c r="H24" i="7" s="1"/>
  <c r="G22" i="7"/>
  <c r="F22" i="7"/>
  <c r="F24" i="7" s="1"/>
  <c r="E22" i="7"/>
  <c r="E24" i="7" s="1"/>
  <c r="D22" i="7"/>
  <c r="D24" i="7" s="1"/>
  <c r="K21" i="7"/>
  <c r="J21" i="7"/>
  <c r="I21" i="7"/>
  <c r="H21" i="7"/>
  <c r="G21" i="7"/>
  <c r="F21" i="7"/>
  <c r="E21" i="7"/>
  <c r="D21" i="7"/>
  <c r="C24" i="7"/>
  <c r="C23" i="7"/>
  <c r="C22" i="7"/>
  <c r="C21" i="7"/>
  <c r="K19" i="7"/>
  <c r="J19" i="7"/>
  <c r="I19" i="7"/>
  <c r="H19" i="7"/>
  <c r="G19" i="7"/>
  <c r="F19" i="7"/>
  <c r="E19" i="7"/>
  <c r="D19" i="7"/>
  <c r="K18" i="7"/>
  <c r="J18" i="7"/>
  <c r="I18" i="7"/>
  <c r="H18" i="7"/>
  <c r="G18" i="7"/>
  <c r="F18" i="7"/>
  <c r="E18" i="7"/>
  <c r="D18" i="7"/>
  <c r="K17" i="7"/>
  <c r="J17" i="7"/>
  <c r="I17" i="7"/>
  <c r="H17" i="7"/>
  <c r="G17" i="7"/>
  <c r="F17" i="7"/>
  <c r="E17" i="7"/>
  <c r="D17" i="7"/>
  <c r="C19" i="7"/>
  <c r="C18" i="7"/>
  <c r="C17" i="7"/>
  <c r="K15" i="7"/>
  <c r="J15" i="7"/>
  <c r="I15" i="7"/>
  <c r="H15" i="7"/>
  <c r="G15" i="7"/>
  <c r="F15" i="7"/>
  <c r="E15" i="7"/>
  <c r="D15" i="7"/>
  <c r="K14" i="7"/>
  <c r="J14" i="7"/>
  <c r="I14" i="7"/>
  <c r="H14" i="7"/>
  <c r="G14" i="7"/>
  <c r="F14" i="7"/>
  <c r="E14" i="7"/>
  <c r="D14" i="7"/>
  <c r="K13" i="7"/>
  <c r="J13" i="7"/>
  <c r="I13" i="7"/>
  <c r="H13" i="7"/>
  <c r="G13" i="7"/>
  <c r="F13" i="7"/>
  <c r="E13" i="7"/>
  <c r="D13" i="7"/>
  <c r="K12" i="7"/>
  <c r="J12" i="7"/>
  <c r="I12" i="7"/>
  <c r="H12" i="7"/>
  <c r="G12" i="7"/>
  <c r="F12" i="7"/>
  <c r="E12" i="7"/>
  <c r="D12" i="7"/>
  <c r="K11" i="7"/>
  <c r="J11" i="7"/>
  <c r="I11" i="7"/>
  <c r="H11" i="7"/>
  <c r="G11" i="7"/>
  <c r="F11" i="7"/>
  <c r="E11" i="7"/>
  <c r="D11" i="7"/>
  <c r="C13" i="7"/>
  <c r="C15" i="7"/>
  <c r="C14" i="7"/>
  <c r="C12" i="7"/>
  <c r="C11" i="7"/>
  <c r="K9" i="7"/>
  <c r="J9" i="7"/>
  <c r="I9" i="7"/>
  <c r="H9" i="7"/>
  <c r="G9" i="7"/>
  <c r="F9" i="7"/>
  <c r="E9" i="7"/>
  <c r="K8" i="7"/>
  <c r="J8" i="7"/>
  <c r="I8" i="7"/>
  <c r="H8" i="7"/>
  <c r="G8" i="7"/>
  <c r="F8" i="7"/>
  <c r="E8" i="7"/>
  <c r="K7" i="7"/>
  <c r="J7" i="7"/>
  <c r="I7" i="7"/>
  <c r="H7" i="7"/>
  <c r="G7" i="7"/>
  <c r="F7" i="7"/>
  <c r="E7" i="7"/>
  <c r="K6" i="7"/>
  <c r="J6" i="7"/>
  <c r="I6" i="7"/>
  <c r="H6" i="7"/>
  <c r="G6" i="7"/>
  <c r="F6" i="7"/>
  <c r="E6" i="7"/>
  <c r="K5" i="7"/>
  <c r="J5" i="7"/>
  <c r="I5" i="7"/>
  <c r="H5" i="7"/>
  <c r="G5" i="7"/>
  <c r="F5" i="7"/>
  <c r="E5" i="7"/>
  <c r="D9" i="7"/>
  <c r="D8" i="7"/>
  <c r="D7" i="7"/>
  <c r="D6" i="7"/>
  <c r="D5" i="7"/>
  <c r="B2" i="7"/>
  <c r="J3" i="7"/>
  <c r="I3" i="7"/>
  <c r="H3" i="7"/>
  <c r="G3" i="7"/>
  <c r="F3" i="7"/>
  <c r="E3" i="7"/>
  <c r="D3" i="7"/>
  <c r="C3" i="7"/>
  <c r="K102" i="3"/>
  <c r="J102" i="3"/>
  <c r="I102" i="3"/>
  <c r="H102" i="3"/>
  <c r="G102" i="3"/>
  <c r="F102" i="3"/>
  <c r="E102" i="3"/>
  <c r="D102" i="3"/>
  <c r="C102" i="3"/>
  <c r="K100" i="3"/>
  <c r="J100" i="3"/>
  <c r="I100" i="3"/>
  <c r="H100" i="3"/>
  <c r="G100" i="3"/>
  <c r="F100" i="3"/>
  <c r="E100" i="3"/>
  <c r="D100" i="3"/>
  <c r="C100" i="3"/>
  <c r="K99" i="3"/>
  <c r="J99" i="3"/>
  <c r="I99" i="3"/>
  <c r="H99" i="3"/>
  <c r="G99" i="3"/>
  <c r="F99" i="3"/>
  <c r="E99" i="3"/>
  <c r="D99" i="3"/>
  <c r="K98" i="3"/>
  <c r="J98" i="3"/>
  <c r="I98" i="3"/>
  <c r="H98" i="3"/>
  <c r="G98" i="3"/>
  <c r="F98" i="3"/>
  <c r="E98" i="3"/>
  <c r="D98" i="3"/>
  <c r="K97" i="3"/>
  <c r="J97" i="3"/>
  <c r="I97" i="3"/>
  <c r="H97" i="3"/>
  <c r="G97" i="3"/>
  <c r="F97" i="3"/>
  <c r="E97" i="3"/>
  <c r="D97" i="3"/>
  <c r="K96" i="3"/>
  <c r="J96" i="3"/>
  <c r="I96" i="3"/>
  <c r="H96" i="3"/>
  <c r="G96" i="3"/>
  <c r="F96" i="3"/>
  <c r="E96" i="3"/>
  <c r="D96" i="3"/>
  <c r="K95" i="3"/>
  <c r="J95" i="3"/>
  <c r="I95" i="3"/>
  <c r="H95" i="3"/>
  <c r="G95" i="3"/>
  <c r="F95" i="3"/>
  <c r="E95" i="3"/>
  <c r="D9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F93" i="3"/>
  <c r="E93" i="3"/>
  <c r="D93" i="3"/>
  <c r="C99" i="3"/>
  <c r="C98" i="3"/>
  <c r="C97" i="3"/>
  <c r="C96" i="3"/>
  <c r="C95" i="3"/>
  <c r="C94" i="3"/>
  <c r="C93" i="3"/>
  <c r="K90" i="3"/>
  <c r="J90" i="3"/>
  <c r="I90" i="3"/>
  <c r="H90" i="3"/>
  <c r="G90" i="3"/>
  <c r="F90" i="3"/>
  <c r="E90" i="3"/>
  <c r="D90" i="3"/>
  <c r="C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C89" i="3"/>
  <c r="C88" i="3"/>
  <c r="C87" i="3"/>
  <c r="C86" i="3"/>
  <c r="C85" i="3"/>
  <c r="C84" i="3"/>
  <c r="C83" i="3"/>
  <c r="C82" i="3"/>
  <c r="C81" i="3"/>
  <c r="K78" i="3"/>
  <c r="J78" i="3"/>
  <c r="I78" i="3"/>
  <c r="H78" i="3"/>
  <c r="G78" i="3"/>
  <c r="F78" i="3"/>
  <c r="E78" i="3"/>
  <c r="D78" i="3"/>
  <c r="C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C77" i="3"/>
  <c r="C76" i="3"/>
  <c r="C75" i="3"/>
  <c r="C74" i="3"/>
  <c r="C73" i="3"/>
  <c r="C72" i="3"/>
  <c r="C71" i="3"/>
  <c r="C70" i="3"/>
  <c r="K66" i="3"/>
  <c r="J66" i="3"/>
  <c r="I66" i="3"/>
  <c r="H66" i="3"/>
  <c r="G66" i="3"/>
  <c r="F66" i="3"/>
  <c r="E66" i="3"/>
  <c r="D66" i="3"/>
  <c r="C66" i="3"/>
  <c r="K57" i="3"/>
  <c r="J57" i="3"/>
  <c r="I57" i="3"/>
  <c r="H57" i="3"/>
  <c r="H64" i="3" s="1"/>
  <c r="G57" i="3"/>
  <c r="F57" i="3"/>
  <c r="E57" i="3"/>
  <c r="E64" i="3" s="1"/>
  <c r="D57" i="3"/>
  <c r="D64" i="3" s="1"/>
  <c r="C57" i="3"/>
  <c r="K56" i="3"/>
  <c r="J56" i="3"/>
  <c r="I56" i="3"/>
  <c r="H56" i="3"/>
  <c r="G56" i="3"/>
  <c r="F56" i="3"/>
  <c r="E56" i="3"/>
  <c r="D56" i="3"/>
  <c r="C56" i="3"/>
  <c r="K64" i="3"/>
  <c r="J64" i="3"/>
  <c r="I64" i="3"/>
  <c r="G64" i="3"/>
  <c r="F64" i="3"/>
  <c r="C64" i="3"/>
  <c r="K62" i="3"/>
  <c r="J62" i="3"/>
  <c r="I62" i="3"/>
  <c r="H62" i="3"/>
  <c r="G62" i="3"/>
  <c r="F62" i="3"/>
  <c r="E62" i="3"/>
  <c r="D62" i="3"/>
  <c r="C62" i="3"/>
  <c r="K61" i="3"/>
  <c r="J61" i="3"/>
  <c r="I61" i="3"/>
  <c r="H61" i="3"/>
  <c r="G61" i="3"/>
  <c r="F61" i="3"/>
  <c r="E61" i="3"/>
  <c r="D61" i="3"/>
  <c r="C61" i="3"/>
  <c r="K60" i="3"/>
  <c r="J60" i="3"/>
  <c r="I60" i="3"/>
  <c r="H60" i="3"/>
  <c r="G60" i="3"/>
  <c r="F60" i="3"/>
  <c r="E60" i="3"/>
  <c r="D60" i="3"/>
  <c r="C60" i="3"/>
  <c r="K59" i="3"/>
  <c r="J59" i="3"/>
  <c r="I59" i="3"/>
  <c r="H59" i="3"/>
  <c r="G59" i="3"/>
  <c r="F59" i="3"/>
  <c r="E59" i="3"/>
  <c r="D59" i="3"/>
  <c r="C59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C55" i="3"/>
  <c r="C54" i="3"/>
  <c r="C53" i="3"/>
  <c r="C47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C51" i="3"/>
  <c r="C50" i="3"/>
  <c r="C49" i="3"/>
  <c r="C48" i="3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L30" i="3"/>
  <c r="K30" i="3"/>
  <c r="J30" i="3"/>
  <c r="I30" i="3"/>
  <c r="H30" i="3"/>
  <c r="G30" i="3"/>
  <c r="F30" i="3"/>
  <c r="E30" i="3"/>
  <c r="D30" i="3"/>
  <c r="C30" i="3"/>
  <c r="L15" i="3"/>
  <c r="K15" i="3"/>
  <c r="J15" i="3"/>
  <c r="I15" i="3"/>
  <c r="H15" i="3"/>
  <c r="G15" i="3"/>
  <c r="F15" i="3"/>
  <c r="E15" i="3"/>
  <c r="D15" i="3"/>
  <c r="L24" i="3"/>
  <c r="K24" i="3"/>
  <c r="J24" i="3"/>
  <c r="I24" i="3"/>
  <c r="H24" i="3"/>
  <c r="G24" i="3"/>
  <c r="F24" i="3"/>
  <c r="E24" i="3"/>
  <c r="D24" i="3"/>
  <c r="C24" i="3"/>
  <c r="L21" i="3"/>
  <c r="K21" i="3"/>
  <c r="J21" i="3"/>
  <c r="I21" i="3"/>
  <c r="H21" i="3"/>
  <c r="G21" i="3"/>
  <c r="F21" i="3"/>
  <c r="E21" i="3"/>
  <c r="D21" i="3"/>
  <c r="C21" i="3"/>
  <c r="C15" i="3"/>
  <c r="L9" i="3"/>
  <c r="K9" i="3"/>
  <c r="J9" i="3"/>
  <c r="I9" i="3"/>
  <c r="H9" i="3"/>
  <c r="G9" i="3"/>
  <c r="F9" i="3"/>
  <c r="E9" i="3"/>
  <c r="D9" i="3"/>
  <c r="C9" i="3"/>
  <c r="L6" i="3"/>
  <c r="K6" i="3"/>
  <c r="J6" i="3"/>
  <c r="J16" i="3" s="1"/>
  <c r="I6" i="3"/>
  <c r="I16" i="3" s="1"/>
  <c r="H6" i="3"/>
  <c r="G6" i="3"/>
  <c r="F6" i="3"/>
  <c r="E6" i="3"/>
  <c r="D6" i="3"/>
  <c r="C6" i="3"/>
  <c r="K3" i="3"/>
  <c r="J3" i="3"/>
  <c r="I3" i="3"/>
  <c r="H3" i="3"/>
  <c r="G3" i="3"/>
  <c r="F3" i="3"/>
  <c r="E3" i="3"/>
  <c r="D3" i="3"/>
  <c r="C3" i="3"/>
  <c r="B2" i="3"/>
  <c r="B93" i="1"/>
  <c r="B6" i="1"/>
  <c r="E1" i="1"/>
  <c r="O16" i="8" l="1"/>
  <c r="O15" i="8"/>
  <c r="J12" i="8"/>
  <c r="J6" i="8"/>
  <c r="J13" i="8"/>
  <c r="B13" i="8"/>
  <c r="D20" i="8"/>
  <c r="D18" i="8"/>
  <c r="H25" i="3"/>
  <c r="I12" i="3"/>
  <c r="I18" i="3" s="1"/>
  <c r="I19" i="3" s="1"/>
  <c r="F25" i="3"/>
  <c r="D12" i="3"/>
  <c r="D13" i="3" s="1"/>
  <c r="J12" i="3"/>
  <c r="J18" i="3" s="1"/>
  <c r="J19" i="3" s="1"/>
  <c r="C16" i="3"/>
  <c r="L36" i="3"/>
  <c r="L41" i="3" s="1"/>
  <c r="C12" i="3"/>
  <c r="C18" i="3" s="1"/>
  <c r="C27" i="3" s="1"/>
  <c r="D16" i="3"/>
  <c r="L16" i="3"/>
  <c r="K22" i="3"/>
  <c r="D22" i="3"/>
  <c r="E12" i="3"/>
  <c r="E13" i="3" s="1"/>
  <c r="K10" i="3"/>
  <c r="J22" i="3"/>
  <c r="C22" i="3"/>
  <c r="L22" i="3"/>
  <c r="C10" i="3"/>
  <c r="F12" i="3"/>
  <c r="F18" i="3" s="1"/>
  <c r="F19" i="3" s="1"/>
  <c r="D10" i="3"/>
  <c r="L12" i="3"/>
  <c r="L13" i="3" s="1"/>
  <c r="D25" i="3"/>
  <c r="L25" i="3"/>
  <c r="K16" i="3"/>
  <c r="H10" i="3"/>
  <c r="L10" i="3"/>
  <c r="G22" i="3"/>
  <c r="I25" i="3"/>
  <c r="H16" i="3"/>
  <c r="E25" i="3"/>
  <c r="E10" i="3"/>
  <c r="K12" i="3"/>
  <c r="K13" i="3" s="1"/>
  <c r="F10" i="3"/>
  <c r="G10" i="3"/>
  <c r="I10" i="3"/>
  <c r="H22" i="3"/>
  <c r="J25" i="3"/>
  <c r="G7" i="3"/>
  <c r="E22" i="3"/>
  <c r="F22" i="3"/>
  <c r="J10" i="3"/>
  <c r="I22" i="3"/>
  <c r="C25" i="3"/>
  <c r="K25" i="3"/>
  <c r="K7" i="3"/>
  <c r="H7" i="3"/>
  <c r="G25" i="3"/>
  <c r="I7" i="3"/>
  <c r="L7" i="3"/>
  <c r="E7" i="3"/>
  <c r="G12" i="3"/>
  <c r="F16" i="3"/>
  <c r="J7" i="3"/>
  <c r="D7" i="3"/>
  <c r="F7" i="3"/>
  <c r="H12" i="3"/>
  <c r="G16" i="3"/>
  <c r="E16" i="3"/>
  <c r="B14" i="8" l="1"/>
  <c r="D13" i="8"/>
  <c r="E13" i="8" s="1"/>
  <c r="C13" i="3"/>
  <c r="F27" i="3"/>
  <c r="F31" i="3" s="1"/>
  <c r="F13" i="3"/>
  <c r="D18" i="3"/>
  <c r="D19" i="3" s="1"/>
  <c r="I27" i="3"/>
  <c r="C33" i="3"/>
  <c r="C31" i="3"/>
  <c r="C28" i="3"/>
  <c r="J27" i="3"/>
  <c r="J13" i="3"/>
  <c r="C19" i="3"/>
  <c r="I13" i="3"/>
  <c r="E18" i="3"/>
  <c r="E19" i="3" s="1"/>
  <c r="L18" i="3"/>
  <c r="L19" i="3" s="1"/>
  <c r="H18" i="3"/>
  <c r="H13" i="3"/>
  <c r="K18" i="3"/>
  <c r="G18" i="3"/>
  <c r="G13" i="3"/>
  <c r="B15" i="8" l="1"/>
  <c r="D14" i="8"/>
  <c r="E14" i="8" s="1"/>
  <c r="F33" i="3"/>
  <c r="F28" i="3"/>
  <c r="D27" i="3"/>
  <c r="D33" i="3" s="1"/>
  <c r="J33" i="3"/>
  <c r="J31" i="3"/>
  <c r="J28" i="3"/>
  <c r="F34" i="3"/>
  <c r="F38" i="3"/>
  <c r="E27" i="3"/>
  <c r="C38" i="3"/>
  <c r="C34" i="3"/>
  <c r="I28" i="3"/>
  <c r="I33" i="3"/>
  <c r="I31" i="3"/>
  <c r="D31" i="3"/>
  <c r="D28" i="3"/>
  <c r="L27" i="3"/>
  <c r="G19" i="3"/>
  <c r="G27" i="3"/>
  <c r="K19" i="3"/>
  <c r="K27" i="3"/>
  <c r="H19" i="3"/>
  <c r="H27" i="3"/>
  <c r="B16" i="8" l="1"/>
  <c r="D16" i="8" s="1"/>
  <c r="E16" i="8" s="1"/>
  <c r="D15" i="8"/>
  <c r="E15" i="8" s="1"/>
  <c r="F42" i="3"/>
  <c r="F44" i="3" s="1"/>
  <c r="C44" i="3"/>
  <c r="C42" i="3"/>
  <c r="L31" i="3"/>
  <c r="L28" i="3"/>
  <c r="L33" i="3"/>
  <c r="D38" i="3"/>
  <c r="D34" i="3"/>
  <c r="E28" i="3"/>
  <c r="E33" i="3"/>
  <c r="E31" i="3"/>
  <c r="H28" i="3"/>
  <c r="H33" i="3"/>
  <c r="H31" i="3"/>
  <c r="K33" i="3"/>
  <c r="K31" i="3"/>
  <c r="K28" i="3"/>
  <c r="I34" i="3"/>
  <c r="I38" i="3"/>
  <c r="G28" i="3"/>
  <c r="G33" i="3"/>
  <c r="G31" i="3"/>
  <c r="J38" i="3"/>
  <c r="J34" i="3"/>
  <c r="I42" i="3" l="1"/>
  <c r="I44" i="3" s="1"/>
  <c r="J39" i="3"/>
  <c r="J42" i="3"/>
  <c r="J44" i="3" s="1"/>
  <c r="D44" i="3"/>
  <c r="D39" i="3"/>
  <c r="D42" i="3"/>
  <c r="E38" i="3"/>
  <c r="E34" i="3"/>
  <c r="K38" i="3"/>
  <c r="K34" i="3"/>
  <c r="L38" i="3"/>
  <c r="L34" i="3"/>
  <c r="G34" i="3"/>
  <c r="G38" i="3"/>
  <c r="H34" i="3"/>
  <c r="H38" i="3"/>
  <c r="I39" i="3" s="1"/>
  <c r="L39" i="3" l="1"/>
  <c r="L42" i="3"/>
  <c r="L44" i="3" s="1"/>
  <c r="K39" i="3"/>
  <c r="K42" i="3"/>
  <c r="K44" i="3" s="1"/>
  <c r="H39" i="3"/>
  <c r="H42" i="3"/>
  <c r="H44" i="3"/>
  <c r="E44" i="3"/>
  <c r="E39" i="3"/>
  <c r="E42" i="3"/>
  <c r="F39" i="3"/>
  <c r="G39" i="3"/>
  <c r="G42" i="3"/>
  <c r="G44" i="3" s="1"/>
</calcChain>
</file>

<file path=xl/sharedStrings.xml><?xml version="1.0" encoding="utf-8"?>
<sst xmlns="http://schemas.openxmlformats.org/spreadsheetml/2006/main" count="242" uniqueCount="174">
  <si>
    <t>Years</t>
  </si>
  <si>
    <t>COMPANY NAME</t>
  </si>
  <si>
    <t>FSN E-COMMERCE VENTURES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</si>
  <si>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</si>
  <si>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</si>
  <si>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</si>
  <si>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</si>
  <si>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</si>
  <si>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</si>
  <si>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</si>
  <si>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</si>
  <si>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</si>
  <si>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</si>
  <si>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</si>
  <si>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</si>
  <si>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</si>
  <si>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</si>
  <si>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</si>
  <si>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</si>
  <si>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</si>
  <si>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</si>
  <si>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</si>
  <si>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</si>
  <si>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</si>
  <si>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</si>
  <si>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</si>
  <si>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</si>
  <si>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</si>
  <si>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</si>
  <si>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</si>
  <si>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</si>
  <si>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</si>
  <si>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</si>
  <si>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</si>
  <si>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</si>
  <si>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</si>
  <si>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</si>
  <si>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</si>
  <si>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</si>
  <si>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</si>
  <si>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</si>
  <si>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</si>
  <si>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</si>
  <si>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</si>
  <si>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</si>
  <si>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</si>
  <si>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</si>
  <si>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</si>
  <si>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</si>
  <si>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</si>
  <si>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</si>
  <si>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</si>
  <si>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</si>
  <si>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</si>
  <si>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</si>
  <si>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LTM</t>
  </si>
  <si>
    <t>#Income Statements</t>
  </si>
  <si>
    <t>Sales Growth</t>
  </si>
  <si>
    <t>-</t>
  </si>
  <si>
    <t>COGS</t>
  </si>
  <si>
    <t>COGS % Sales</t>
  </si>
  <si>
    <t>Gross Profit</t>
  </si>
  <si>
    <t>Selling &amp; General Expenses</t>
  </si>
  <si>
    <t>S&amp;G Expenses % Sales</t>
  </si>
  <si>
    <t>EBITDA</t>
  </si>
  <si>
    <t>EBITDA %  Sales</t>
  </si>
  <si>
    <t>Interest % of Sales</t>
  </si>
  <si>
    <t>Depreciation % Sales</t>
  </si>
  <si>
    <t>EBT</t>
  </si>
  <si>
    <t>Gross Margins % Sales</t>
  </si>
  <si>
    <t>EBT % Sales</t>
  </si>
  <si>
    <t>Effective Tax Rate</t>
  </si>
  <si>
    <t>Net Profit</t>
  </si>
  <si>
    <t>Net Margins</t>
  </si>
  <si>
    <t>No. Of Equity Shares</t>
  </si>
  <si>
    <t>Dividend</t>
  </si>
  <si>
    <t xml:space="preserve">Earnings Per Share </t>
  </si>
  <si>
    <t>EPS Growth %</t>
  </si>
  <si>
    <t>Dividend Payout Ratio</t>
  </si>
  <si>
    <t>Retained Earnings</t>
  </si>
  <si>
    <t>#Balance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</si>
  <si>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</si>
  <si>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</si>
  <si>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</si>
  <si>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</si>
  <si>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</si>
  <si>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</si>
  <si>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</si>
  <si>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</si>
  <si>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</si>
  <si>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</si>
  <si>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</si>
  <si>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</si>
  <si>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</si>
  <si>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</si>
  <si>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</si>
  <si>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</si>
  <si>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</si>
  <si>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</si>
  <si>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</si>
  <si>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</si>
  <si>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</si>
  <si>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</si>
  <si>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</si>
  <si>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</si>
  <si>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</si>
  <si>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</si>
  <si>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</si>
  <si>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</si>
  <si>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</si>
  <si>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</si>
  <si>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</si>
  <si>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</si>
  <si>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</si>
  <si>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#Cash Flow Statements</t>
  </si>
  <si>
    <t>Cash From Operating Activities</t>
  </si>
  <si>
    <t>Operating Activities</t>
  </si>
  <si>
    <t>Investing Activities</t>
  </si>
  <si>
    <t>Cash From Investing Activities</t>
  </si>
  <si>
    <t>Financing Activites</t>
  </si>
  <si>
    <t>Cash From Financinging Activities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</si>
  <si>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</si>
  <si>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</si>
  <si>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</si>
  <si>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</si>
  <si>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</si>
  <si>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</si>
  <si>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</si>
  <si>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</si>
  <si>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 Expense % Sales</t>
  </si>
  <si>
    <t>Operating Income % Sales</t>
  </si>
  <si>
    <t>Return On Capital Employed</t>
  </si>
  <si>
    <t>Retained Earnings %</t>
  </si>
  <si>
    <t>Return On Equity</t>
  </si>
  <si>
    <t>Self Sustained Growth Rate</t>
  </si>
  <si>
    <t>EBT Growth</t>
  </si>
  <si>
    <t>Interest Coverage Ratio</t>
  </si>
  <si>
    <t>Creditor Turnover Ratio</t>
  </si>
  <si>
    <t>Inventory Turnover Ratio</t>
  </si>
  <si>
    <t>Fixed Asset Turnover Ratio</t>
  </si>
  <si>
    <t>Debtor Turnover Ratio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</si>
  <si>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</si>
  <si>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</si>
  <si>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</si>
  <si>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</si>
  <si>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</si>
  <si>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</si>
  <si>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</si>
  <si>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</si>
  <si>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Mean</t>
  </si>
  <si>
    <t>Median</t>
  </si>
  <si>
    <t>Trend</t>
  </si>
  <si>
    <t>Year Weight</t>
  </si>
  <si>
    <t>Year</t>
  </si>
  <si>
    <t xml:space="preserve">Arithmetic Mean </t>
  </si>
  <si>
    <t>Geometric Mean</t>
  </si>
  <si>
    <t>Standard Deviation</t>
  </si>
  <si>
    <t xml:space="preserve"> </t>
  </si>
  <si>
    <t>g</t>
  </si>
  <si>
    <t>Weighted Average Cost of Capital</t>
  </si>
  <si>
    <t>All figures in INR unless stated otherwise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</si>
  <si>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</si>
  <si>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</si>
  <si>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</si>
  <si>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</si>
  <si>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</si>
  <si>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 tint="0.34998626667073579"/>
        <rFont val="Calibri"/>
        <family val="2"/>
      </rPr>
      <t>1</t>
    </r>
  </si>
  <si>
    <t>Debt /</t>
  </si>
  <si>
    <t>Equity</t>
  </si>
  <si>
    <t>Capital</t>
  </si>
  <si>
    <t>Levered</t>
  </si>
  <si>
    <t xml:space="preserve">Unlevered </t>
  </si>
  <si>
    <r>
      <t xml:space="preserve">Beta </t>
    </r>
    <r>
      <rPr>
        <vertAlign val="superscript"/>
        <sz val="11"/>
        <color theme="1" tint="0.34998626667073579"/>
        <rFont val="Calibri"/>
        <family val="2"/>
      </rPr>
      <t>2</t>
    </r>
  </si>
  <si>
    <r>
      <t>Beta</t>
    </r>
    <r>
      <rPr>
        <vertAlign val="superscript"/>
        <sz val="11"/>
        <color theme="1" tint="0.34998626667073579"/>
        <rFont val="Calibri"/>
        <family val="2"/>
      </rPr>
      <t xml:space="preserve">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</si>
</sst>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0"/>
    <numFmt numFmtId="167" formatCode="&quot;₹&quot;\ #,##0.00;\ \(&quot;₹&quot;\ ###0.00\);\-"/>
    <numFmt numFmtId="168" formatCode="0.00&quot;x&quot;"/>
    <numFmt numFmtId="169" formatCode="0&quot; Days&quot;"/>
    <numFmt numFmtId="170" formatCode="0.0"/>
    <numFmt numFmtId="171" formatCode="0&quot;E&quot;"/>
    <numFmt numFmtId="172" formatCode="0&quot;A&quot;"/>
    <numFmt numFmtId="176" formatCode="\ #,##0.00;\ \(#,##0.00\)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2" tint="-0.499984740745262"/>
      <name val="Calibri"/>
      <family val="2"/>
    </font>
    <font>
      <i/>
      <sz val="11"/>
      <color theme="1" tint="0.34998626667073579"/>
      <name val="Calibri"/>
      <family val="2"/>
    </font>
    <font>
      <sz val="11"/>
      <color theme="1" tint="0.34998626667073579"/>
      <name val="Calibri"/>
      <family val="2"/>
    </font>
    <font>
      <vertAlign val="superscript"/>
      <sz val="11"/>
      <color theme="1" tint="0.349986266670735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43" fontId="6" fillId="0" borderId="0" xfId="1" applyFont="1" applyBorder="1"/>
    <xf numFmtId="43" fontId="0" fillId="0" borderId="0" xfId="1" applyFont="1" applyBorder="1"/>
    <xf numFmtId="164" fontId="7" fillId="3" borderId="0" xfId="1" applyNumberFormat="1" applyFont="1" applyFill="1" applyBorder="1"/>
    <xf numFmtId="164" fontId="7" fillId="3" borderId="0" xfId="0" applyNumberFormat="1" applyFont="1" applyFill="1" applyAlignment="1">
      <alignment horizontal="center"/>
    </xf>
    <xf numFmtId="164" fontId="8" fillId="0" borderId="0" xfId="1" applyNumberFormat="1" applyFont="1" applyFill="1" applyBorder="1"/>
    <xf numFmtId="43" fontId="5" fillId="0" borderId="0" xfId="1" applyFont="1" applyBorder="1"/>
    <xf numFmtId="165" fontId="0" fillId="0" borderId="0" xfId="1" applyNumberFormat="1" applyFont="1" applyBorder="1"/>
    <xf numFmtId="17" fontId="0" fillId="0" borderId="0" xfId="0" applyNumberFormat="1"/>
    <xf numFmtId="0" fontId="3" fillId="4" borderId="0" xfId="0" applyFont="1" applyFill="1"/>
    <xf numFmtId="17" fontId="3" fillId="4" borderId="0" xfId="0" applyNumberFormat="1" applyFont="1" applyFill="1"/>
    <xf numFmtId="17" fontId="3" fillId="4" borderId="0" xfId="0" applyNumberFormat="1" applyFont="1" applyFill="1" applyAlignment="1">
      <alignment horizontal="right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0" fontId="0" fillId="0" borderId="0" xfId="0" applyNumberFormat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0" fontId="10" fillId="0" borderId="0" xfId="0" applyNumberFormat="1" applyFont="1"/>
    <xf numFmtId="0" fontId="3" fillId="5" borderId="0" xfId="0" applyFont="1" applyFill="1"/>
    <xf numFmtId="17" fontId="3" fillId="5" borderId="0" xfId="0" applyNumberFormat="1" applyFont="1" applyFill="1"/>
    <xf numFmtId="17" fontId="3" fillId="5" borderId="0" xfId="0" applyNumberFormat="1" applyFont="1" applyFill="1" applyAlignment="1">
      <alignment horizontal="right"/>
    </xf>
    <xf numFmtId="0" fontId="0" fillId="5" borderId="0" xfId="0" applyFill="1"/>
    <xf numFmtId="0" fontId="0" fillId="6" borderId="0" xfId="0" applyFill="1"/>
    <xf numFmtId="0" fontId="2" fillId="6" borderId="0" xfId="0" applyFont="1" applyFill="1"/>
    <xf numFmtId="10" fontId="10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166" fontId="2" fillId="0" borderId="1" xfId="0" applyNumberFormat="1" applyFont="1" applyBorder="1"/>
    <xf numFmtId="0" fontId="2" fillId="0" borderId="2" xfId="0" applyFont="1" applyBorder="1"/>
    <xf numFmtId="167" fontId="2" fillId="0" borderId="2" xfId="0" applyNumberFormat="1" applyFont="1" applyBorder="1"/>
    <xf numFmtId="43" fontId="6" fillId="0" borderId="2" xfId="1" applyFont="1" applyBorder="1"/>
    <xf numFmtId="43" fontId="2" fillId="0" borderId="2" xfId="1" applyFont="1" applyFill="1" applyBorder="1"/>
    <xf numFmtId="10" fontId="0" fillId="0" borderId="0" xfId="4" applyNumberFormat="1" applyFont="1"/>
    <xf numFmtId="0" fontId="0" fillId="0" borderId="3" xfId="0" applyBorder="1"/>
    <xf numFmtId="10" fontId="0" fillId="0" borderId="3" xfId="0" applyNumberFormat="1" applyBorder="1"/>
    <xf numFmtId="10" fontId="0" fillId="0" borderId="3" xfId="4" applyNumberFormat="1" applyFont="1" applyBorder="1"/>
    <xf numFmtId="10" fontId="0" fillId="0" borderId="0" xfId="4" applyNumberFormat="1" applyFont="1" applyBorder="1"/>
    <xf numFmtId="0" fontId="0" fillId="0" borderId="4" xfId="0" applyBorder="1"/>
    <xf numFmtId="10" fontId="0" fillId="0" borderId="4" xfId="0" applyNumberFormat="1" applyBorder="1"/>
    <xf numFmtId="10" fontId="0" fillId="0" borderId="4" xfId="4" applyNumberFormat="1" applyFont="1" applyBorder="1"/>
    <xf numFmtId="169" fontId="0" fillId="0" borderId="3" xfId="0" applyNumberFormat="1" applyBorder="1"/>
    <xf numFmtId="169" fontId="0" fillId="0" borderId="0" xfId="0" applyNumberFormat="1"/>
    <xf numFmtId="169" fontId="0" fillId="0" borderId="4" xfId="0" applyNumberFormat="1" applyBorder="1"/>
    <xf numFmtId="168" fontId="0" fillId="0" borderId="3" xfId="0" applyNumberFormat="1" applyBorder="1"/>
    <xf numFmtId="168" fontId="0" fillId="0" borderId="0" xfId="0" applyNumberFormat="1"/>
    <xf numFmtId="168" fontId="0" fillId="0" borderId="4" xfId="0" applyNumberFormat="1" applyBorder="1"/>
    <xf numFmtId="1" fontId="0" fillId="0" borderId="0" xfId="0" applyNumberFormat="1"/>
    <xf numFmtId="1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0" fontId="3" fillId="4" borderId="0" xfId="0" applyFont="1" applyFill="1" applyAlignment="1">
      <alignment horizontal="center"/>
    </xf>
    <xf numFmtId="43" fontId="4" fillId="0" borderId="0" xfId="3" applyNumberFormat="1" applyBorder="1" applyAlignment="1" applyProtection="1">
      <alignment horizontal="center"/>
    </xf>
    <xf numFmtId="43" fontId="7" fillId="2" borderId="0" xfId="2" applyNumberFormat="1" applyFont="1" applyBorder="1" applyAlignment="1">
      <alignment horizontal="center"/>
    </xf>
    <xf numFmtId="176" fontId="0" fillId="0" borderId="0" xfId="0" applyNumberFormat="1"/>
    <xf numFmtId="0" fontId="11" fillId="0" borderId="0" xfId="0" applyFont="1"/>
    <xf numFmtId="0" fontId="12" fillId="0" borderId="0" xfId="0" applyFont="1"/>
    <xf numFmtId="0" fontId="0" fillId="0" borderId="0" xfId="0" applyFont="1"/>
    <xf numFmtId="0" fontId="0" fillId="0" borderId="5" xfId="0" applyFont="1" applyBorder="1"/>
    <xf numFmtId="0" fontId="12" fillId="0" borderId="6" xfId="0" applyFont="1" applyBorder="1"/>
    <xf numFmtId="0" fontId="0" fillId="0" borderId="6" xfId="0" applyFont="1" applyBorder="1"/>
    <xf numFmtId="0" fontId="12" fillId="0" borderId="5" xfId="0" applyFont="1" applyBorder="1"/>
  </cellXfs>
  <cellStyles count="5">
    <cellStyle name="Accent6" xfId="2" builtinId="49"/>
    <cellStyle name="Comma" xfId="1" builtinId="3"/>
    <cellStyle name="Hyperlink" xfId="3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2E8E-433D-4AD4-9B8F-F2F9928A67A7}">
  <sheetPr>
    <tabColor theme="8" tint="-0.499984740745262"/>
  </sheetPr>
  <dimension ref="A1"/>
  <sheetViews>
    <sheetView workbookViewId="0">
      <selection activeCell="H8" sqref="H8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E355-171E-45A5-9303-55CC14CD9507}">
  <dimension ref="B2:L102"/>
  <sheetViews>
    <sheetView showGridLines="0" zoomScaleNormal="100" workbookViewId="0">
      <pane ySplit="3" topLeftCell="A8" activePane="bottomLeft" state="frozen"/>
      <selection pane="bottomLeft" activeCell="C27" sqref="C27:K27"/>
    </sheetView>
  </sheetViews>
  <sheetFormatPr defaultRowHeight="14.5" x14ac:dyDescent="0.35"/>
  <cols>
    <col min="1" max="1" width="1.81640625" customWidth="1"/>
    <col min="2" max="2" width="28.7265625" bestFit="1" customWidth="1"/>
    <col min="3" max="3" width="13.26953125" bestFit="1" customWidth="1"/>
    <col min="4" max="12" width="10.6328125" customWidth="1"/>
  </cols>
  <sheetData>
    <row r="2" spans="2:12" x14ac:dyDescent="0.35">
      <c r="B2" s="55" t="str">
        <f>"Historical Financial Statements - "&amp;'Data Sheet'!B1</f>
        <v>Historical Financial Statements - FSN E-COMMERCE VENTURES LTD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2:12" x14ac:dyDescent="0.35">
      <c r="B3" s="9" t="s">
        <v>0</v>
      </c>
      <c r="C3" s="10">
        <f>'Data Sheet'!C16</f>
        <v>43190</v>
      </c>
      <c r="D3" s="10">
        <f>'Data Sheet'!D16</f>
        <v>43555</v>
      </c>
      <c r="E3" s="10">
        <f>'Data Sheet'!E16</f>
        <v>43921</v>
      </c>
      <c r="F3" s="10">
        <f>'Data Sheet'!F16</f>
        <v>44286</v>
      </c>
      <c r="G3" s="10">
        <f>'Data Sheet'!G16</f>
        <v>44651</v>
      </c>
      <c r="H3" s="10">
        <f>'Data Sheet'!H16</f>
        <v>45016</v>
      </c>
      <c r="I3" s="10">
        <f>'Data Sheet'!I16</f>
        <v>45382</v>
      </c>
      <c r="J3" s="10">
        <f>'Data Sheet'!J16</f>
        <v>45747</v>
      </c>
      <c r="K3" s="10">
        <f>'Data Sheet'!K16</f>
        <v>46112</v>
      </c>
      <c r="L3" s="11" t="s">
        <v>55</v>
      </c>
    </row>
    <row r="4" spans="2:12" s="24" customFormat="1" x14ac:dyDescent="0.35">
      <c r="B4" s="21"/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2:12" x14ac:dyDescent="0.35">
      <c r="B5" s="26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2" x14ac:dyDescent="0.35">
      <c r="B6" t="s">
        <v>13</v>
      </c>
      <c r="C6" s="13">
        <f>IFERROR('Data Sheet'!C17,0)</f>
        <v>574.36</v>
      </c>
      <c r="D6" s="13">
        <f>IFERROR('Data Sheet'!D17,0)</f>
        <v>1111.3900000000001</v>
      </c>
      <c r="E6" s="13">
        <f>IFERROR('Data Sheet'!E17,0)</f>
        <v>1767.53</v>
      </c>
      <c r="F6" s="13">
        <f>IFERROR('Data Sheet'!F17,0)</f>
        <v>2440.9</v>
      </c>
      <c r="G6" s="13">
        <f>IFERROR('Data Sheet'!G17,0)</f>
        <v>3773.94</v>
      </c>
      <c r="H6" s="13">
        <f>IFERROR('Data Sheet'!H17,0)</f>
        <v>5143.8</v>
      </c>
      <c r="I6" s="13">
        <f>IFERROR('Data Sheet'!I17,0)</f>
        <v>6385.63</v>
      </c>
      <c r="J6" s="13">
        <f>IFERROR('Data Sheet'!J17,0)</f>
        <v>7949.82</v>
      </c>
      <c r="K6" s="13">
        <f>IFERROR('Data Sheet'!K17,0)</f>
        <v>10022.35</v>
      </c>
      <c r="L6" s="13">
        <f>IFERROR(SUM('Data Sheet'!H42:K42),0)</f>
        <v>10022.35</v>
      </c>
    </row>
    <row r="7" spans="2:12" x14ac:dyDescent="0.35">
      <c r="B7" s="18" t="s">
        <v>57</v>
      </c>
      <c r="C7" s="19" t="s">
        <v>58</v>
      </c>
      <c r="D7" s="20">
        <f>D6/C6-1</f>
        <v>0.93500591963228641</v>
      </c>
      <c r="E7" s="20">
        <f t="shared" ref="E7:L7" si="0">E6/D6-1</f>
        <v>0.59037781516839249</v>
      </c>
      <c r="F7" s="20">
        <f t="shared" si="0"/>
        <v>0.3809666596889445</v>
      </c>
      <c r="G7" s="20">
        <f t="shared" si="0"/>
        <v>0.54612642877627104</v>
      </c>
      <c r="H7" s="20">
        <f t="shared" si="0"/>
        <v>0.36297874370021788</v>
      </c>
      <c r="I7" s="20">
        <f t="shared" si="0"/>
        <v>0.24142268361911423</v>
      </c>
      <c r="J7" s="20">
        <f t="shared" si="0"/>
        <v>0.24495468732137615</v>
      </c>
      <c r="K7" s="20">
        <f t="shared" si="0"/>
        <v>0.26070150015975213</v>
      </c>
      <c r="L7" s="20">
        <f t="shared" si="0"/>
        <v>0</v>
      </c>
    </row>
    <row r="9" spans="2:12" x14ac:dyDescent="0.35">
      <c r="B9" t="s">
        <v>59</v>
      </c>
      <c r="C9" s="13">
        <f>IFERROR(SUM('Data Sheet'!C18,'Data Sheet'!C20:C22),0)-1*'Data Sheet'!C19</f>
        <v>459.05</v>
      </c>
      <c r="D9" s="13">
        <f>IFERROR(SUM('Data Sheet'!D18,'Data Sheet'!D20:D22),0)-1*'Data Sheet'!D19</f>
        <v>827.75</v>
      </c>
      <c r="E9" s="13">
        <f>IFERROR(SUM('Data Sheet'!E18,'Data Sheet'!E20:E22),0)-1*'Data Sheet'!E19</f>
        <v>1285.2099999999996</v>
      </c>
      <c r="F9" s="13">
        <f>IFERROR(SUM('Data Sheet'!F18,'Data Sheet'!F20:F22),0)-1*'Data Sheet'!F19</f>
        <v>1867.38</v>
      </c>
      <c r="G9" s="13">
        <f>IFERROR(SUM('Data Sheet'!G18,'Data Sheet'!G20:G22),0)-1*'Data Sheet'!G19</f>
        <v>2697.5</v>
      </c>
      <c r="H9" s="13">
        <f>IFERROR(SUM('Data Sheet'!H18,'Data Sheet'!H20:H22),0)-1*'Data Sheet'!H19</f>
        <v>3573.2</v>
      </c>
      <c r="I9" s="13">
        <f>IFERROR(SUM('Data Sheet'!I18,'Data Sheet'!I20:I22),0)-1*'Data Sheet'!I19</f>
        <v>4422.08</v>
      </c>
      <c r="J9" s="13">
        <f>IFERROR(SUM('Data Sheet'!J18,'Data Sheet'!J20:J22),0)-1*'Data Sheet'!J19</f>
        <v>5382.29</v>
      </c>
      <c r="K9" s="13">
        <f>IFERROR(SUM('Data Sheet'!K18,'Data Sheet'!K20:K22),0)-1*'Data Sheet'!K19</f>
        <v>6278.0599999999995</v>
      </c>
      <c r="L9" s="13">
        <f>IFERROR(SUM('Data Sheet'!H43:K43),0)</f>
        <v>9270.0400000000009</v>
      </c>
    </row>
    <row r="10" spans="2:12" x14ac:dyDescent="0.35">
      <c r="B10" s="18" t="s">
        <v>60</v>
      </c>
      <c r="C10" s="20">
        <f>C9/C6</f>
        <v>0.79923741207604981</v>
      </c>
      <c r="D10" s="20">
        <f t="shared" ref="D10:L10" si="1">D9/D6</f>
        <v>0.74478805819739236</v>
      </c>
      <c r="E10" s="20">
        <f t="shared" si="1"/>
        <v>0.72712202904618284</v>
      </c>
      <c r="F10" s="20">
        <f t="shared" si="1"/>
        <v>0.76503748617313283</v>
      </c>
      <c r="G10" s="20">
        <f t="shared" si="1"/>
        <v>0.71477024012040469</v>
      </c>
      <c r="H10" s="20">
        <f t="shared" si="1"/>
        <v>0.69466153427427191</v>
      </c>
      <c r="I10" s="20">
        <f t="shared" si="1"/>
        <v>0.69250488988557113</v>
      </c>
      <c r="J10" s="20">
        <f t="shared" si="1"/>
        <v>0.67703293911057105</v>
      </c>
      <c r="K10" s="20">
        <f t="shared" si="1"/>
        <v>0.62640598262882452</v>
      </c>
      <c r="L10" s="20">
        <f t="shared" si="1"/>
        <v>0.92493676632725863</v>
      </c>
    </row>
    <row r="12" spans="2:12" x14ac:dyDescent="0.35">
      <c r="B12" s="29" t="s">
        <v>61</v>
      </c>
      <c r="C12" s="30">
        <f>C6-C9</f>
        <v>115.31</v>
      </c>
      <c r="D12" s="30">
        <f t="shared" ref="D12:L12" si="2">D6-D9</f>
        <v>283.6400000000001</v>
      </c>
      <c r="E12" s="30">
        <f t="shared" si="2"/>
        <v>482.32000000000039</v>
      </c>
      <c r="F12" s="30">
        <f t="shared" si="2"/>
        <v>573.52</v>
      </c>
      <c r="G12" s="30">
        <f t="shared" si="2"/>
        <v>1076.44</v>
      </c>
      <c r="H12" s="30">
        <f t="shared" si="2"/>
        <v>1570.6000000000004</v>
      </c>
      <c r="I12" s="30">
        <f t="shared" si="2"/>
        <v>1963.5500000000002</v>
      </c>
      <c r="J12" s="30">
        <f t="shared" si="2"/>
        <v>2567.5299999999997</v>
      </c>
      <c r="K12" s="30">
        <f t="shared" si="2"/>
        <v>3744.2900000000009</v>
      </c>
      <c r="L12" s="30">
        <f t="shared" si="2"/>
        <v>752.30999999999949</v>
      </c>
    </row>
    <row r="13" spans="2:12" x14ac:dyDescent="0.35">
      <c r="B13" s="18" t="s">
        <v>69</v>
      </c>
      <c r="C13" s="20">
        <f>C12/C6</f>
        <v>0.20076258792395013</v>
      </c>
      <c r="D13" s="20">
        <f t="shared" ref="D13:L13" si="3">D12/D6</f>
        <v>0.25521194180260759</v>
      </c>
      <c r="E13" s="20">
        <f t="shared" si="3"/>
        <v>0.27287797095381711</v>
      </c>
      <c r="F13" s="20">
        <f t="shared" si="3"/>
        <v>0.23496251382686711</v>
      </c>
      <c r="G13" s="20">
        <f t="shared" si="3"/>
        <v>0.28522975987959537</v>
      </c>
      <c r="H13" s="20">
        <f t="shared" si="3"/>
        <v>0.30533846572572815</v>
      </c>
      <c r="I13" s="20">
        <f t="shared" si="3"/>
        <v>0.30749511011442882</v>
      </c>
      <c r="J13" s="20">
        <f t="shared" si="3"/>
        <v>0.32296706088942895</v>
      </c>
      <c r="K13" s="20">
        <f t="shared" si="3"/>
        <v>0.37359401737117548</v>
      </c>
      <c r="L13" s="20">
        <f t="shared" si="3"/>
        <v>7.506323367274137E-2</v>
      </c>
    </row>
    <row r="15" spans="2:12" x14ac:dyDescent="0.35">
      <c r="B15" t="s">
        <v>62</v>
      </c>
      <c r="C15" s="12">
        <f>IFERROR(SUM('Data Sheet'!C23:C24),0)</f>
        <v>141.91999999999999</v>
      </c>
      <c r="D15" s="12">
        <f>IFERROR(SUM('Data Sheet'!D23:D24),0)</f>
        <v>262.78000000000003</v>
      </c>
      <c r="E15" s="12">
        <f>IFERROR(SUM('Data Sheet'!E23:E24),0)</f>
        <v>399.32</v>
      </c>
      <c r="F15" s="12">
        <f>IFERROR(SUM('Data Sheet'!F23:F24),0)</f>
        <v>415.28000000000003</v>
      </c>
      <c r="G15" s="12">
        <f>IFERROR(SUM('Data Sheet'!G23:G24),0)</f>
        <v>912.39</v>
      </c>
      <c r="H15" s="12">
        <f>IFERROR(SUM('Data Sheet'!H23:H24),0)</f>
        <v>1313.54</v>
      </c>
      <c r="I15" s="12">
        <f>IFERROR(SUM('Data Sheet'!I23:I24),0)</f>
        <v>1616.67</v>
      </c>
      <c r="J15" s="12">
        <f>IFERROR(SUM('Data Sheet'!J23:J24),0)</f>
        <v>2092.75</v>
      </c>
      <c r="K15" s="12">
        <f>IFERROR(SUM('Data Sheet'!K23:K24),0)</f>
        <v>2991.98</v>
      </c>
      <c r="L15" s="12">
        <f>IFERROR(SUM('Data Sheet'!L23:L24),0)</f>
        <v>0</v>
      </c>
    </row>
    <row r="16" spans="2:12" x14ac:dyDescent="0.35">
      <c r="B16" s="20" t="s">
        <v>63</v>
      </c>
      <c r="C16" s="20">
        <f>C15/C6</f>
        <v>0.24709241590640013</v>
      </c>
      <c r="D16" s="20">
        <f t="shared" ref="D16:L16" si="4">D15/D6</f>
        <v>0.23644265289412358</v>
      </c>
      <c r="E16" s="20">
        <f t="shared" si="4"/>
        <v>0.2259197863685482</v>
      </c>
      <c r="F16" s="20">
        <f t="shared" si="4"/>
        <v>0.17013396697939284</v>
      </c>
      <c r="G16" s="20">
        <f t="shared" si="4"/>
        <v>0.24176060032750918</v>
      </c>
      <c r="H16" s="20">
        <f t="shared" si="4"/>
        <v>0.255363738870096</v>
      </c>
      <c r="I16" s="20">
        <f t="shared" si="4"/>
        <v>0.25317314031661714</v>
      </c>
      <c r="J16" s="20">
        <f t="shared" si="4"/>
        <v>0.26324495397380065</v>
      </c>
      <c r="K16" s="20">
        <f t="shared" si="4"/>
        <v>0.298530783698434</v>
      </c>
      <c r="L16" s="20">
        <f t="shared" si="4"/>
        <v>0</v>
      </c>
    </row>
    <row r="18" spans="2:12" x14ac:dyDescent="0.35">
      <c r="B18" s="31" t="s">
        <v>64</v>
      </c>
      <c r="C18" s="32">
        <f>C12-C15</f>
        <v>-26.609999999999985</v>
      </c>
      <c r="D18" s="32">
        <f t="shared" ref="D18:L18" si="5">D12-D15</f>
        <v>20.86000000000007</v>
      </c>
      <c r="E18" s="32">
        <f t="shared" si="5"/>
        <v>83.000000000000398</v>
      </c>
      <c r="F18" s="32">
        <f t="shared" si="5"/>
        <v>158.23999999999995</v>
      </c>
      <c r="G18" s="32">
        <f t="shared" si="5"/>
        <v>164.05000000000007</v>
      </c>
      <c r="H18" s="32">
        <f t="shared" si="5"/>
        <v>257.0600000000004</v>
      </c>
      <c r="I18" s="32">
        <f t="shared" si="5"/>
        <v>346.88000000000011</v>
      </c>
      <c r="J18" s="32">
        <f t="shared" si="5"/>
        <v>474.77999999999975</v>
      </c>
      <c r="K18" s="32">
        <f t="shared" si="5"/>
        <v>752.31000000000085</v>
      </c>
      <c r="L18" s="32">
        <f t="shared" si="5"/>
        <v>752.30999999999949</v>
      </c>
    </row>
    <row r="19" spans="2:12" x14ac:dyDescent="0.35">
      <c r="B19" s="20" t="s">
        <v>65</v>
      </c>
      <c r="C19" s="20">
        <f>C18/C6</f>
        <v>-4.6329827982450007E-2</v>
      </c>
      <c r="D19" s="20">
        <f t="shared" ref="D19:L19" si="6">D18/D6</f>
        <v>1.8769288908484033E-2</v>
      </c>
      <c r="E19" s="20">
        <f t="shared" si="6"/>
        <v>4.6958184585268938E-2</v>
      </c>
      <c r="F19" s="20">
        <f t="shared" si="6"/>
        <v>6.4828546847474272E-2</v>
      </c>
      <c r="G19" s="20">
        <f t="shared" si="6"/>
        <v>4.3469159552086169E-2</v>
      </c>
      <c r="H19" s="20">
        <f t="shared" si="6"/>
        <v>4.9974726855632097E-2</v>
      </c>
      <c r="I19" s="20">
        <f t="shared" si="6"/>
        <v>5.4321969797811662E-2</v>
      </c>
      <c r="J19" s="20">
        <f t="shared" si="6"/>
        <v>5.9722106915628251E-2</v>
      </c>
      <c r="K19" s="20">
        <f t="shared" si="6"/>
        <v>7.5063233672741508E-2</v>
      </c>
      <c r="L19" s="20">
        <f t="shared" si="6"/>
        <v>7.506323367274137E-2</v>
      </c>
    </row>
    <row r="21" spans="2:12" x14ac:dyDescent="0.35">
      <c r="B21" t="s">
        <v>23</v>
      </c>
      <c r="C21" s="13">
        <f>IFERROR('Data Sheet'!C27,0)</f>
        <v>7.16</v>
      </c>
      <c r="D21" s="13">
        <f>IFERROR('Data Sheet'!D27,0)</f>
        <v>26.69</v>
      </c>
      <c r="E21" s="13">
        <f>IFERROR('Data Sheet'!E27,0)</f>
        <v>46.24</v>
      </c>
      <c r="F21" s="13">
        <f>IFERROR('Data Sheet'!F27,0)</f>
        <v>32.29</v>
      </c>
      <c r="G21" s="13">
        <f>IFERROR('Data Sheet'!G27,0)</f>
        <v>47.3</v>
      </c>
      <c r="H21" s="13">
        <f>IFERROR('Data Sheet'!H27,0)</f>
        <v>75.62</v>
      </c>
      <c r="I21" s="13">
        <f>IFERROR('Data Sheet'!I27,0)</f>
        <v>83.56</v>
      </c>
      <c r="J21" s="13">
        <f>IFERROR('Data Sheet'!J27,0)</f>
        <v>108.19</v>
      </c>
      <c r="K21" s="13">
        <f>IFERROR('Data Sheet'!K27,0)</f>
        <v>117.12</v>
      </c>
      <c r="L21" s="13">
        <f>IFERROR(SUM('Data Sheet'!H46:K46),0)</f>
        <v>117.11999999999999</v>
      </c>
    </row>
    <row r="22" spans="2:12" x14ac:dyDescent="0.35">
      <c r="B22" s="20" t="s">
        <v>66</v>
      </c>
      <c r="C22" s="20">
        <f>C21/C6</f>
        <v>1.2466049167769343E-2</v>
      </c>
      <c r="D22" s="20">
        <f t="shared" ref="D22:L22" si="7">D21/D6</f>
        <v>2.4014972241967265E-2</v>
      </c>
      <c r="E22" s="20">
        <f t="shared" si="7"/>
        <v>2.6160800665335243E-2</v>
      </c>
      <c r="F22" s="20">
        <f t="shared" si="7"/>
        <v>1.322872710885329E-2</v>
      </c>
      <c r="G22" s="20">
        <f t="shared" si="7"/>
        <v>1.2533320614530172E-2</v>
      </c>
      <c r="H22" s="20">
        <f t="shared" si="7"/>
        <v>1.470119367004938E-2</v>
      </c>
      <c r="I22" s="20">
        <f t="shared" si="7"/>
        <v>1.3085631331599231E-2</v>
      </c>
      <c r="J22" s="20">
        <f t="shared" si="7"/>
        <v>1.3609113162310593E-2</v>
      </c>
      <c r="K22" s="20">
        <f t="shared" si="7"/>
        <v>1.1685882053610182E-2</v>
      </c>
      <c r="L22" s="20">
        <f t="shared" si="7"/>
        <v>1.168588205361018E-2</v>
      </c>
    </row>
    <row r="24" spans="2:12" x14ac:dyDescent="0.35">
      <c r="B24" t="s">
        <v>22</v>
      </c>
      <c r="C24" s="13">
        <f>IFERROR('Data Sheet'!C26,0)</f>
        <v>7.4</v>
      </c>
      <c r="D24" s="13">
        <f>IFERROR('Data Sheet'!D26,0)</f>
        <v>30.88</v>
      </c>
      <c r="E24" s="13">
        <f>IFERROR('Data Sheet'!E26,0)</f>
        <v>59.51</v>
      </c>
      <c r="F24" s="13">
        <f>IFERROR('Data Sheet'!F26,0)</f>
        <v>71.59</v>
      </c>
      <c r="G24" s="13">
        <f>IFERROR('Data Sheet'!G26,0)</f>
        <v>96.41</v>
      </c>
      <c r="H24" s="13">
        <f>IFERROR('Data Sheet'!H26,0)</f>
        <v>173.26</v>
      </c>
      <c r="I24" s="13">
        <f>IFERROR('Data Sheet'!I26,0)</f>
        <v>224.23</v>
      </c>
      <c r="J24" s="13">
        <f>IFERROR('Data Sheet'!J26,0)</f>
        <v>266.39999999999998</v>
      </c>
      <c r="K24" s="13">
        <f>IFERROR('Data Sheet'!K26,0)</f>
        <v>320.33</v>
      </c>
      <c r="L24" s="13">
        <f>IFERROR(SUM('Data Sheet'!H45:K45),0)</f>
        <v>320.33000000000004</v>
      </c>
    </row>
    <row r="25" spans="2:12" x14ac:dyDescent="0.35">
      <c r="B25" s="20" t="s">
        <v>67</v>
      </c>
      <c r="C25" s="20">
        <f>C24/C6</f>
        <v>1.2883905564454349E-2</v>
      </c>
      <c r="D25" s="20">
        <f t="shared" ref="D25:L25" si="8">D24/D6</f>
        <v>2.7785025958484418E-2</v>
      </c>
      <c r="E25" s="20">
        <f t="shared" si="8"/>
        <v>3.3668452586377601E-2</v>
      </c>
      <c r="F25" s="20">
        <f t="shared" si="8"/>
        <v>2.9329345733131222E-2</v>
      </c>
      <c r="G25" s="20">
        <f t="shared" si="8"/>
        <v>2.5546246098242156E-2</v>
      </c>
      <c r="H25" s="20">
        <f t="shared" si="8"/>
        <v>3.3683269178428399E-2</v>
      </c>
      <c r="I25" s="20">
        <f t="shared" si="8"/>
        <v>3.5114781157066725E-2</v>
      </c>
      <c r="J25" s="20">
        <f t="shared" si="8"/>
        <v>3.3510192683607928E-2</v>
      </c>
      <c r="K25" s="20">
        <f t="shared" si="8"/>
        <v>3.196156590021302E-2</v>
      </c>
      <c r="L25" s="20">
        <f t="shared" si="8"/>
        <v>3.1961565900213026E-2</v>
      </c>
    </row>
    <row r="27" spans="2:12" x14ac:dyDescent="0.35">
      <c r="B27" s="31" t="s">
        <v>68</v>
      </c>
      <c r="C27" s="32">
        <f>IFERROR(C18-SUM(C21,C24),0)</f>
        <v>-41.169999999999987</v>
      </c>
      <c r="D27" s="32">
        <f t="shared" ref="D27:L27" si="9">IFERROR(D18-SUM(D21,D24),0)</f>
        <v>-36.70999999999993</v>
      </c>
      <c r="E27" s="32">
        <f t="shared" si="9"/>
        <v>-22.749999999999602</v>
      </c>
      <c r="F27" s="32">
        <f t="shared" si="9"/>
        <v>54.359999999999957</v>
      </c>
      <c r="G27" s="32">
        <f t="shared" si="9"/>
        <v>20.340000000000089</v>
      </c>
      <c r="H27" s="32">
        <f t="shared" si="9"/>
        <v>8.1800000000004047</v>
      </c>
      <c r="I27" s="32">
        <f t="shared" si="9"/>
        <v>39.090000000000146</v>
      </c>
      <c r="J27" s="32">
        <f t="shared" si="9"/>
        <v>100.18999999999977</v>
      </c>
      <c r="K27" s="32">
        <f t="shared" si="9"/>
        <v>314.86000000000087</v>
      </c>
      <c r="L27" s="32">
        <f t="shared" si="9"/>
        <v>314.85999999999945</v>
      </c>
    </row>
    <row r="28" spans="2:12" x14ac:dyDescent="0.35">
      <c r="B28" s="20" t="s">
        <v>70</v>
      </c>
      <c r="C28" s="20">
        <f>C27/C6</f>
        <v>-7.1679782714673707E-2</v>
      </c>
      <c r="D28" s="20">
        <f t="shared" ref="D28:L28" si="10">D27/D6</f>
        <v>-3.303070929196765E-2</v>
      </c>
      <c r="E28" s="20">
        <f t="shared" si="10"/>
        <v>-1.2871068666443908E-2</v>
      </c>
      <c r="F28" s="20">
        <f t="shared" si="10"/>
        <v>2.227047400548976E-2</v>
      </c>
      <c r="G28" s="20">
        <f t="shared" si="10"/>
        <v>5.3895928393138436E-3</v>
      </c>
      <c r="H28" s="20">
        <f t="shared" si="10"/>
        <v>1.5902640071543226E-3</v>
      </c>
      <c r="I28" s="20">
        <f t="shared" si="10"/>
        <v>6.1215573091457139E-3</v>
      </c>
      <c r="J28" s="20">
        <f t="shared" si="10"/>
        <v>1.2602801069709726E-2</v>
      </c>
      <c r="K28" s="20">
        <f t="shared" si="10"/>
        <v>3.1415785718918302E-2</v>
      </c>
      <c r="L28" s="20">
        <f t="shared" si="10"/>
        <v>3.1415785718918163E-2</v>
      </c>
    </row>
    <row r="30" spans="2:12" x14ac:dyDescent="0.35">
      <c r="B30" t="s">
        <v>25</v>
      </c>
      <c r="C30" s="13">
        <f>IFERROR('Data Sheet'!C29,0)</f>
        <v>-9.27</v>
      </c>
      <c r="D30" s="13">
        <f>IFERROR('Data Sheet'!D29,0)</f>
        <v>-7.18</v>
      </c>
      <c r="E30" s="13">
        <f>IFERROR('Data Sheet'!E29,0)</f>
        <v>3.91</v>
      </c>
      <c r="F30" s="13">
        <f>IFERROR('Data Sheet'!F29,0)</f>
        <v>4.4800000000000004</v>
      </c>
      <c r="G30" s="13">
        <f>IFERROR('Data Sheet'!G29,0)</f>
        <v>6.02</v>
      </c>
      <c r="H30" s="13">
        <f>IFERROR('Data Sheet'!H29,0)</f>
        <v>13.57</v>
      </c>
      <c r="I30" s="13">
        <f>IFERROR('Data Sheet'!I29,0)</f>
        <v>25.32</v>
      </c>
      <c r="J30" s="13">
        <f>IFERROR('Data Sheet'!J29,0)</f>
        <v>53.75</v>
      </c>
      <c r="K30" s="13">
        <f>IFERROR('Data Sheet'!K29,0)</f>
        <v>126.29</v>
      </c>
      <c r="L30" s="13">
        <f>IFERROR(SUM('Data Sheet'!H48:K48),0)</f>
        <v>126.29000000000002</v>
      </c>
    </row>
    <row r="31" spans="2:12" x14ac:dyDescent="0.35">
      <c r="B31" s="20" t="s">
        <v>71</v>
      </c>
      <c r="C31" s="20">
        <f>C30/C27</f>
        <v>0.22516395433568137</v>
      </c>
      <c r="D31" s="20">
        <f t="shared" ref="D31:L31" si="11">D30/D27</f>
        <v>0.19558703350585707</v>
      </c>
      <c r="E31" s="20">
        <f t="shared" si="11"/>
        <v>-0.17186813186813488</v>
      </c>
      <c r="F31" s="20">
        <f t="shared" si="11"/>
        <v>8.2413539367181821E-2</v>
      </c>
      <c r="G31" s="20">
        <f t="shared" si="11"/>
        <v>0.2959685349065867</v>
      </c>
      <c r="H31" s="20">
        <f t="shared" si="11"/>
        <v>1.6589242053788911</v>
      </c>
      <c r="I31" s="20">
        <f t="shared" si="11"/>
        <v>0.64773599386031988</v>
      </c>
      <c r="J31" s="20">
        <f t="shared" si="11"/>
        <v>0.53648068669528015</v>
      </c>
      <c r="K31" s="20">
        <f t="shared" si="11"/>
        <v>0.40109890109890001</v>
      </c>
      <c r="L31" s="20">
        <f t="shared" si="11"/>
        <v>0.40109890109890189</v>
      </c>
    </row>
    <row r="33" spans="2:12" x14ac:dyDescent="0.35">
      <c r="B33" s="31" t="s">
        <v>72</v>
      </c>
      <c r="C33" s="32">
        <f>IFERROR(C27-C30,0)</f>
        <v>-31.899999999999988</v>
      </c>
      <c r="D33" s="32">
        <f t="shared" ref="D33:L33" si="12">IFERROR(D27-D30,0)</f>
        <v>-29.52999999999993</v>
      </c>
      <c r="E33" s="32">
        <f t="shared" si="12"/>
        <v>-26.659999999999602</v>
      </c>
      <c r="F33" s="32">
        <f t="shared" si="12"/>
        <v>49.879999999999953</v>
      </c>
      <c r="G33" s="32">
        <f t="shared" si="12"/>
        <v>14.320000000000089</v>
      </c>
      <c r="H33" s="32">
        <f t="shared" si="12"/>
        <v>-5.3899999999995956</v>
      </c>
      <c r="I33" s="32">
        <f t="shared" si="12"/>
        <v>13.770000000000145</v>
      </c>
      <c r="J33" s="32">
        <f t="shared" si="12"/>
        <v>46.43999999999977</v>
      </c>
      <c r="K33" s="32">
        <f t="shared" si="12"/>
        <v>188.57000000000085</v>
      </c>
      <c r="L33" s="32">
        <f t="shared" si="12"/>
        <v>188.56999999999942</v>
      </c>
    </row>
    <row r="34" spans="2:12" x14ac:dyDescent="0.35">
      <c r="B34" s="20" t="s">
        <v>73</v>
      </c>
      <c r="C34" s="20">
        <f>C33/C6</f>
        <v>-5.5540079392715345E-2</v>
      </c>
      <c r="D34" s="20">
        <f t="shared" ref="D34:L34" si="13">D33/D6</f>
        <v>-2.6570330846957348E-2</v>
      </c>
      <c r="E34" s="20">
        <f t="shared" si="13"/>
        <v>-1.508319519329211E-2</v>
      </c>
      <c r="F34" s="20">
        <f t="shared" si="13"/>
        <v>2.0435085419312528E-2</v>
      </c>
      <c r="G34" s="20">
        <f t="shared" si="13"/>
        <v>3.7944429429190947E-3</v>
      </c>
      <c r="H34" s="20">
        <f t="shared" si="13"/>
        <v>-1.0478634472568132E-3</v>
      </c>
      <c r="I34" s="20">
        <f t="shared" si="13"/>
        <v>2.156404301533309E-3</v>
      </c>
      <c r="J34" s="20">
        <f t="shared" si="13"/>
        <v>5.8416416975478405E-3</v>
      </c>
      <c r="K34" s="20">
        <f t="shared" si="13"/>
        <v>1.8814948589901653E-2</v>
      </c>
      <c r="L34" s="20">
        <f t="shared" si="13"/>
        <v>1.8814948589901511E-2</v>
      </c>
    </row>
    <row r="36" spans="2:12" x14ac:dyDescent="0.35">
      <c r="B36" t="s">
        <v>74</v>
      </c>
      <c r="C36">
        <f>IFERROR('Data Sheet'!C93,0)</f>
        <v>8.1300000000000008</v>
      </c>
      <c r="D36">
        <f>IFERROR('Data Sheet'!D93,0)</f>
        <v>8.5500000000000007</v>
      </c>
      <c r="E36">
        <f>IFERROR('Data Sheet'!E93,0)</f>
        <v>8.73</v>
      </c>
      <c r="F36">
        <f>IFERROR('Data Sheet'!F93,0)</f>
        <v>9.0299999999999994</v>
      </c>
      <c r="G36">
        <f>IFERROR('Data Sheet'!G93,0)</f>
        <v>284.45999999999998</v>
      </c>
      <c r="H36">
        <f>IFERROR('Data Sheet'!H93,0)</f>
        <v>285.24</v>
      </c>
      <c r="I36">
        <f>IFERROR('Data Sheet'!I93,0)</f>
        <v>285.60000000000002</v>
      </c>
      <c r="J36">
        <f>IFERROR('Data Sheet'!J93,0)</f>
        <v>285.93</v>
      </c>
      <c r="K36">
        <f>IFERROR('Data Sheet'!K93,0)</f>
        <v>286.32</v>
      </c>
      <c r="L36">
        <f>K36</f>
        <v>286.32</v>
      </c>
    </row>
    <row r="38" spans="2:12" x14ac:dyDescent="0.35">
      <c r="B38" t="s">
        <v>76</v>
      </c>
      <c r="C38" s="13">
        <f>IFERROR(C33/C36,0)</f>
        <v>-3.9237392373923718</v>
      </c>
      <c r="D38" s="13">
        <f t="shared" ref="D38:L38" si="14">IFERROR(D33/D36,0)</f>
        <v>-3.4538011695906348</v>
      </c>
      <c r="E38" s="13">
        <f t="shared" si="14"/>
        <v>-3.0538373424970904</v>
      </c>
      <c r="F38" s="13">
        <f t="shared" si="14"/>
        <v>5.5238095238095193</v>
      </c>
      <c r="G38" s="13">
        <f t="shared" si="14"/>
        <v>5.0340996976728149E-2</v>
      </c>
      <c r="H38" s="13">
        <f t="shared" si="14"/>
        <v>-1.8896367970830164E-2</v>
      </c>
      <c r="I38" s="13">
        <f t="shared" si="14"/>
        <v>4.8214285714286216E-2</v>
      </c>
      <c r="J38" s="13">
        <f t="shared" si="14"/>
        <v>0.16241737488196331</v>
      </c>
      <c r="K38" s="13">
        <f t="shared" si="14"/>
        <v>0.65859877060631755</v>
      </c>
      <c r="L38" s="13">
        <f t="shared" si="14"/>
        <v>0.65859877060631267</v>
      </c>
    </row>
    <row r="39" spans="2:12" x14ac:dyDescent="0.35">
      <c r="B39" s="20" t="s">
        <v>77</v>
      </c>
      <c r="C39" s="27" t="s">
        <v>58</v>
      </c>
      <c r="D39" s="20">
        <f>IFERROR((D38-C38)/ABS(C38),0)</f>
        <v>0.11976791508552115</v>
      </c>
      <c r="E39" s="20">
        <f t="shared" ref="E39:L39" si="15">IFERROR((E38-D38)/ABS(D38),0)</f>
        <v>0.11580395264645489</v>
      </c>
      <c r="F39" s="20">
        <f t="shared" si="15"/>
        <v>2.8088093451934673</v>
      </c>
      <c r="G39" s="20">
        <f t="shared" si="15"/>
        <v>-0.99088654365076478</v>
      </c>
      <c r="H39" s="20">
        <f t="shared" si="15"/>
        <v>-1.3753673766049102</v>
      </c>
      <c r="I39" s="20">
        <f t="shared" si="15"/>
        <v>3.5515107341640131</v>
      </c>
      <c r="J39" s="20">
        <f t="shared" si="15"/>
        <v>2.3686566642184634</v>
      </c>
      <c r="K39" s="20">
        <f t="shared" si="15"/>
        <v>3.0549773143726382</v>
      </c>
      <c r="L39" s="20">
        <f t="shared" si="15"/>
        <v>-7.4172341740836987E-15</v>
      </c>
    </row>
    <row r="41" spans="2:12" x14ac:dyDescent="0.35">
      <c r="B41" t="s">
        <v>75</v>
      </c>
      <c r="C41">
        <f>IFERROR('Data Sheet'!C31/C36,0)</f>
        <v>0</v>
      </c>
      <c r="D41">
        <f>IFERROR('Data Sheet'!D31/D36,0)</f>
        <v>0</v>
      </c>
      <c r="E41">
        <f>IFERROR('Data Sheet'!E31/E36,0)</f>
        <v>0</v>
      </c>
      <c r="F41">
        <f>IFERROR('Data Sheet'!F31/F36,0)</f>
        <v>0</v>
      </c>
      <c r="G41">
        <f>IFERROR('Data Sheet'!G31/G36,0)</f>
        <v>0</v>
      </c>
      <c r="H41">
        <f>IFERROR('Data Sheet'!H31/H36,0)</f>
        <v>0</v>
      </c>
      <c r="I41">
        <f>IFERROR('Data Sheet'!I31/I36,0)</f>
        <v>0</v>
      </c>
      <c r="J41">
        <f>IFERROR('Data Sheet'!J31/J36,0)</f>
        <v>0</v>
      </c>
      <c r="K41">
        <f>IFERROR('Data Sheet'!K31/K36,0)</f>
        <v>0</v>
      </c>
      <c r="L41">
        <f>IFERROR('Data Sheet'!L31/L36,0)</f>
        <v>0</v>
      </c>
    </row>
    <row r="42" spans="2:12" x14ac:dyDescent="0.35">
      <c r="B42" s="20" t="s">
        <v>78</v>
      </c>
      <c r="C42" s="20">
        <f>IFERROR(C41/C38,0)</f>
        <v>0</v>
      </c>
      <c r="D42" s="20">
        <f t="shared" ref="D42:L42" si="16">IFERROR(D41/D38,0)</f>
        <v>0</v>
      </c>
      <c r="E42" s="20">
        <f t="shared" si="16"/>
        <v>0</v>
      </c>
      <c r="F42" s="20">
        <f t="shared" si="16"/>
        <v>0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</row>
    <row r="44" spans="2:12" x14ac:dyDescent="0.35">
      <c r="B44" t="s">
        <v>79</v>
      </c>
      <c r="C44" s="15">
        <f>IFERROR(IF(C38&gt;C41,1-C42,0),0)</f>
        <v>0</v>
      </c>
      <c r="D44" s="15">
        <f t="shared" ref="D44:L44" si="17">IFERROR(IF(D38&gt;D41,1-D42,0),0)</f>
        <v>0</v>
      </c>
      <c r="E44" s="15">
        <f t="shared" si="17"/>
        <v>0</v>
      </c>
      <c r="F44" s="15">
        <f t="shared" si="17"/>
        <v>1</v>
      </c>
      <c r="G44" s="15">
        <f t="shared" si="17"/>
        <v>1</v>
      </c>
      <c r="H44" s="15">
        <f t="shared" si="17"/>
        <v>0</v>
      </c>
      <c r="I44" s="15">
        <f t="shared" si="17"/>
        <v>1</v>
      </c>
      <c r="J44" s="15">
        <f t="shared" si="17"/>
        <v>1</v>
      </c>
      <c r="K44" s="15">
        <f t="shared" si="17"/>
        <v>1</v>
      </c>
      <c r="L44" s="15">
        <f t="shared" si="17"/>
        <v>1</v>
      </c>
    </row>
    <row r="46" spans="2:12" x14ac:dyDescent="0.35">
      <c r="B46" s="26" t="s">
        <v>80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2:12" s="24" customFormat="1" x14ac:dyDescent="0.35">
      <c r="B47" s="24" t="s">
        <v>32</v>
      </c>
      <c r="C47" s="13">
        <f>IFERROR('Data Sheet'!C57,0)</f>
        <v>13.56</v>
      </c>
      <c r="D47" s="13">
        <f>IFERROR('Data Sheet'!D57,0)</f>
        <v>14.24</v>
      </c>
      <c r="E47" s="13">
        <f>IFERROR('Data Sheet'!E57,0)</f>
        <v>14.55</v>
      </c>
      <c r="F47" s="13">
        <f>IFERROR('Data Sheet'!F57,0)</f>
        <v>15.06</v>
      </c>
      <c r="G47" s="13">
        <f>IFERROR('Data Sheet'!G57,0)</f>
        <v>47.41</v>
      </c>
      <c r="H47" s="13">
        <f>IFERROR('Data Sheet'!H57,0)</f>
        <v>285.25</v>
      </c>
      <c r="I47" s="13">
        <f>IFERROR('Data Sheet'!I57,0)</f>
        <v>285.60000000000002</v>
      </c>
      <c r="J47" s="13">
        <f>IFERROR('Data Sheet'!J57,0)</f>
        <v>285.93</v>
      </c>
      <c r="K47" s="13">
        <f>IFERROR('Data Sheet'!K57,0)</f>
        <v>286.33</v>
      </c>
    </row>
    <row r="48" spans="2:12" x14ac:dyDescent="0.35">
      <c r="B48" s="6" t="s">
        <v>33</v>
      </c>
      <c r="C48" s="13">
        <f>IFERROR('Data Sheet'!C58,0)</f>
        <v>108.03</v>
      </c>
      <c r="D48" s="13">
        <f>IFERROR('Data Sheet'!D58,0)</f>
        <v>216.32</v>
      </c>
      <c r="E48" s="13">
        <f>IFERROR('Data Sheet'!E58,0)</f>
        <v>307.39999999999998</v>
      </c>
      <c r="F48" s="13">
        <f>IFERROR('Data Sheet'!F58,0)</f>
        <v>474.51</v>
      </c>
      <c r="G48" s="13">
        <f>IFERROR('Data Sheet'!G58,0)</f>
        <v>1292.49</v>
      </c>
      <c r="H48" s="13">
        <f>IFERROR('Data Sheet'!H58,0)</f>
        <v>1092.77</v>
      </c>
      <c r="I48" s="13">
        <f>IFERROR('Data Sheet'!I58,0)</f>
        <v>976.63</v>
      </c>
      <c r="J48" s="13">
        <f>IFERROR('Data Sheet'!J58,0)</f>
        <v>1015.35</v>
      </c>
      <c r="K48" s="13">
        <f>IFERROR('Data Sheet'!K58,0)</f>
        <v>1151.6500000000001</v>
      </c>
      <c r="L48" s="24"/>
    </row>
    <row r="49" spans="2:12" x14ac:dyDescent="0.35">
      <c r="B49" s="6" t="s">
        <v>34</v>
      </c>
      <c r="C49" s="13">
        <f>IFERROR('Data Sheet'!C59,0)</f>
        <v>83.05</v>
      </c>
      <c r="D49" s="13">
        <f>IFERROR('Data Sheet'!D59,0)</f>
        <v>310.47000000000003</v>
      </c>
      <c r="E49" s="13">
        <f>IFERROR('Data Sheet'!E59,0)</f>
        <v>412.77</v>
      </c>
      <c r="F49" s="13">
        <f>IFERROR('Data Sheet'!F59,0)</f>
        <v>333</v>
      </c>
      <c r="G49" s="13">
        <f>IFERROR('Data Sheet'!G59,0)</f>
        <v>592.62</v>
      </c>
      <c r="H49" s="13">
        <f>IFERROR('Data Sheet'!H59,0)</f>
        <v>798.5</v>
      </c>
      <c r="I49" s="13">
        <f>IFERROR('Data Sheet'!I59,0)</f>
        <v>969.49</v>
      </c>
      <c r="J49" s="13">
        <f>IFERROR('Data Sheet'!J59,0)</f>
        <v>1320.59</v>
      </c>
      <c r="K49" s="13">
        <f>IFERROR('Data Sheet'!K59,0)</f>
        <v>1237.81</v>
      </c>
      <c r="L49" s="24"/>
    </row>
    <row r="50" spans="2:12" x14ac:dyDescent="0.35">
      <c r="B50" s="6" t="s">
        <v>35</v>
      </c>
      <c r="C50" s="13">
        <f>IFERROR('Data Sheet'!C60,0)</f>
        <v>148.5</v>
      </c>
      <c r="D50" s="13">
        <f>IFERROR('Data Sheet'!D60,0)</f>
        <v>234.62</v>
      </c>
      <c r="E50" s="13">
        <f>IFERROR('Data Sheet'!E60,0)</f>
        <v>389.76</v>
      </c>
      <c r="F50" s="13">
        <f>IFERROR('Data Sheet'!F60,0)</f>
        <v>479.37</v>
      </c>
      <c r="G50" s="13">
        <f>IFERROR('Data Sheet'!G60,0)</f>
        <v>713.52</v>
      </c>
      <c r="H50" s="13">
        <f>IFERROR('Data Sheet'!H60,0)</f>
        <v>773.45</v>
      </c>
      <c r="I50" s="13">
        <f>IFERROR('Data Sheet'!I60,0)</f>
        <v>1168.9100000000001</v>
      </c>
      <c r="J50" s="13">
        <f>IFERROR('Data Sheet'!J60,0)</f>
        <v>1357.66</v>
      </c>
      <c r="K50" s="13">
        <f>IFERROR('Data Sheet'!K60,0)</f>
        <v>1935.59</v>
      </c>
      <c r="L50" s="24"/>
    </row>
    <row r="51" spans="2:12" x14ac:dyDescent="0.35">
      <c r="B51" s="33" t="s">
        <v>81</v>
      </c>
      <c r="C51" s="32">
        <f>IFERROR('Data Sheet'!C61,0)</f>
        <v>353.14</v>
      </c>
      <c r="D51" s="32">
        <f>IFERROR('Data Sheet'!D61,0)</f>
        <v>775.65</v>
      </c>
      <c r="E51" s="32">
        <f>IFERROR('Data Sheet'!E61,0)</f>
        <v>1124.48</v>
      </c>
      <c r="F51" s="32">
        <f>IFERROR('Data Sheet'!F61,0)</f>
        <v>1301.94</v>
      </c>
      <c r="G51" s="32">
        <f>IFERROR('Data Sheet'!G61,0)</f>
        <v>2646.04</v>
      </c>
      <c r="H51" s="32">
        <f>IFERROR('Data Sheet'!H61,0)</f>
        <v>2949.97</v>
      </c>
      <c r="I51" s="32">
        <f>IFERROR('Data Sheet'!I61,0)</f>
        <v>3400.63</v>
      </c>
      <c r="J51" s="32">
        <f>IFERROR('Data Sheet'!J61,0)</f>
        <v>3979.53</v>
      </c>
      <c r="K51" s="32">
        <f>IFERROR('Data Sheet'!K61,0)</f>
        <v>4611.38</v>
      </c>
      <c r="L51" s="24"/>
    </row>
    <row r="52" spans="2:12" x14ac:dyDescent="0.35">
      <c r="B52" s="1"/>
    </row>
    <row r="53" spans="2:12" x14ac:dyDescent="0.35">
      <c r="B53" s="6" t="s">
        <v>83</v>
      </c>
      <c r="C53" s="13">
        <f>IFERROR('Data Sheet'!C62,0)</f>
        <v>34.119999999999997</v>
      </c>
      <c r="D53" s="13">
        <f>IFERROR('Data Sheet'!D62,0)</f>
        <v>139.58000000000001</v>
      </c>
      <c r="E53" s="13">
        <f>IFERROR('Data Sheet'!E62,0)</f>
        <v>227.03</v>
      </c>
      <c r="F53" s="13">
        <f>IFERROR('Data Sheet'!F62,0)</f>
        <v>231.13</v>
      </c>
      <c r="G53" s="13">
        <f>IFERROR('Data Sheet'!G62,0)</f>
        <v>483.25</v>
      </c>
      <c r="H53" s="13">
        <f>IFERROR('Data Sheet'!H62,0)</f>
        <v>698.82</v>
      </c>
      <c r="I53" s="13">
        <f>IFERROR('Data Sheet'!I62,0)</f>
        <v>668.16</v>
      </c>
      <c r="J53" s="13">
        <f>IFERROR('Data Sheet'!J62,0)</f>
        <v>834.82</v>
      </c>
      <c r="K53" s="13">
        <f>IFERROR('Data Sheet'!K62,0)</f>
        <v>1007.95</v>
      </c>
    </row>
    <row r="54" spans="2:12" x14ac:dyDescent="0.35">
      <c r="B54" s="6" t="s">
        <v>38</v>
      </c>
      <c r="C54" s="13">
        <f>IFERROR('Data Sheet'!C63,0)</f>
        <v>0.44</v>
      </c>
      <c r="D54" s="13">
        <f>IFERROR('Data Sheet'!D63,0)</f>
        <v>0.32</v>
      </c>
      <c r="E54" s="13">
        <f>IFERROR('Data Sheet'!E63,0)</f>
        <v>2.02</v>
      </c>
      <c r="F54" s="13">
        <f>IFERROR('Data Sheet'!F63,0)</f>
        <v>2.36</v>
      </c>
      <c r="G54" s="13">
        <f>IFERROR('Data Sheet'!G63,0)</f>
        <v>24.5</v>
      </c>
      <c r="H54" s="13">
        <f>IFERROR('Data Sheet'!H63,0)</f>
        <v>30.88</v>
      </c>
      <c r="I54" s="13">
        <f>IFERROR('Data Sheet'!I63,0)</f>
        <v>29.78</v>
      </c>
      <c r="J54" s="13">
        <f>IFERROR('Data Sheet'!J63,0)</f>
        <v>36.74</v>
      </c>
      <c r="K54" s="13">
        <f>IFERROR('Data Sheet'!K63,0)</f>
        <v>9.25</v>
      </c>
    </row>
    <row r="55" spans="2:12" x14ac:dyDescent="0.35">
      <c r="B55" s="6" t="s">
        <v>39</v>
      </c>
      <c r="C55" s="13">
        <f>IFERROR('Data Sheet'!C64,0)</f>
        <v>10.42</v>
      </c>
      <c r="D55" s="13">
        <f>IFERROR('Data Sheet'!D64,0)</f>
        <v>138.27000000000001</v>
      </c>
      <c r="E55" s="13">
        <f>IFERROR('Data Sheet'!E64,0)</f>
        <v>3.8</v>
      </c>
      <c r="F55" s="13">
        <f>IFERROR('Data Sheet'!F64,0)</f>
        <v>1.32</v>
      </c>
      <c r="G55" s="13">
        <f>IFERROR('Data Sheet'!G64,0)</f>
        <v>0</v>
      </c>
      <c r="H55" s="13">
        <f>IFERROR('Data Sheet'!H64,0)</f>
        <v>38.119999999999997</v>
      </c>
      <c r="I55" s="13">
        <f>IFERROR('Data Sheet'!I64,0)</f>
        <v>34.31</v>
      </c>
      <c r="J55" s="13">
        <f>IFERROR('Data Sheet'!J64,0)</f>
        <v>0.16</v>
      </c>
      <c r="K55" s="13">
        <f>IFERROR('Data Sheet'!K64,0)</f>
        <v>0.16</v>
      </c>
    </row>
    <row r="56" spans="2:12" x14ac:dyDescent="0.35">
      <c r="B56" s="6" t="s">
        <v>40</v>
      </c>
      <c r="C56" s="13">
        <f>IFERROR('Data Sheet'!C65-SUM('Data Sheet'!C67:C69),0)</f>
        <v>82.510000000000048</v>
      </c>
      <c r="D56" s="13">
        <f>IFERROR('Data Sheet'!D65-SUM('Data Sheet'!D67:D69),0)</f>
        <v>183.02000000000004</v>
      </c>
      <c r="E56" s="13">
        <f>IFERROR('Data Sheet'!E65-SUM('Data Sheet'!E67:E69),0)</f>
        <v>172.24</v>
      </c>
      <c r="F56" s="13">
        <f>IFERROR('Data Sheet'!F65-SUM('Data Sheet'!F67:F69),0)</f>
        <v>244.73000000000013</v>
      </c>
      <c r="G56" s="13">
        <f>IFERROR('Data Sheet'!G65-SUM('Data Sheet'!G67:G69),0)</f>
        <v>901.09999999999991</v>
      </c>
      <c r="H56" s="13">
        <f>IFERROR('Data Sheet'!H65-SUM('Data Sheet'!H67:H69),0)</f>
        <v>864.74</v>
      </c>
      <c r="I56" s="13">
        <f>IFERROR('Data Sheet'!I65-SUM('Data Sheet'!I67:I69),0)</f>
        <v>994.87000000000035</v>
      </c>
      <c r="J56" s="13">
        <f>IFERROR('Data Sheet'!J65-SUM('Data Sheet'!J67:J69),0)</f>
        <v>1226.5099999999998</v>
      </c>
      <c r="K56" s="13">
        <f>IFERROR('Data Sheet'!K65-SUM('Data Sheet'!K67:K69),0)</f>
        <v>1342.4500000000003</v>
      </c>
    </row>
    <row r="57" spans="2:12" x14ac:dyDescent="0.35">
      <c r="B57" s="33" t="s">
        <v>84</v>
      </c>
      <c r="C57" s="32">
        <f>IFERROR(SUM(C53:C56),0)</f>
        <v>127.49000000000004</v>
      </c>
      <c r="D57" s="32">
        <f t="shared" ref="D57:K57" si="18">IFERROR(SUM(D53:D56),0)</f>
        <v>461.19000000000005</v>
      </c>
      <c r="E57" s="32">
        <f t="shared" si="18"/>
        <v>405.09000000000003</v>
      </c>
      <c r="F57" s="32">
        <f t="shared" si="18"/>
        <v>479.54000000000013</v>
      </c>
      <c r="G57" s="32">
        <f t="shared" si="18"/>
        <v>1408.85</v>
      </c>
      <c r="H57" s="32">
        <f t="shared" si="18"/>
        <v>1632.56</v>
      </c>
      <c r="I57" s="32">
        <f t="shared" si="18"/>
        <v>1727.1200000000003</v>
      </c>
      <c r="J57" s="32">
        <f t="shared" si="18"/>
        <v>2098.2299999999996</v>
      </c>
      <c r="K57" s="32">
        <f t="shared" si="18"/>
        <v>2359.8100000000004</v>
      </c>
    </row>
    <row r="58" spans="2:12" x14ac:dyDescent="0.35">
      <c r="B58" s="1"/>
    </row>
    <row r="59" spans="2:12" x14ac:dyDescent="0.35">
      <c r="B59" s="6" t="s">
        <v>41</v>
      </c>
      <c r="C59" s="13">
        <f>IFERROR('Data Sheet'!C67,0)</f>
        <v>70.239999999999995</v>
      </c>
      <c r="D59" s="13">
        <f>IFERROR('Data Sheet'!D67,0)</f>
        <v>57.92</v>
      </c>
      <c r="E59" s="13">
        <f>IFERROR('Data Sheet'!E67,0)</f>
        <v>98.43</v>
      </c>
      <c r="F59" s="13">
        <f>IFERROR('Data Sheet'!F67,0)</f>
        <v>76.64</v>
      </c>
      <c r="G59" s="13">
        <f>IFERROR('Data Sheet'!G67,0)</f>
        <v>94.53</v>
      </c>
      <c r="H59" s="13">
        <f>IFERROR('Data Sheet'!H67,0)</f>
        <v>163.53</v>
      </c>
      <c r="I59" s="13">
        <f>IFERROR('Data Sheet'!I67,0)</f>
        <v>241.6</v>
      </c>
      <c r="J59" s="13">
        <f>IFERROR('Data Sheet'!J67,0)</f>
        <v>246.61</v>
      </c>
      <c r="K59" s="13">
        <f>IFERROR('Data Sheet'!K67,0)</f>
        <v>289.38</v>
      </c>
    </row>
    <row r="60" spans="2:12" x14ac:dyDescent="0.35">
      <c r="B60" s="6" t="s">
        <v>42</v>
      </c>
      <c r="C60" s="13">
        <f>IFERROR('Data Sheet'!C68,0)</f>
        <v>117.72</v>
      </c>
      <c r="D60" s="13">
        <f>IFERROR('Data Sheet'!D68,0)</f>
        <v>244.6</v>
      </c>
      <c r="E60" s="13">
        <f>IFERROR('Data Sheet'!E68,0)</f>
        <v>445.34</v>
      </c>
      <c r="F60" s="13">
        <f>IFERROR('Data Sheet'!F68,0)</f>
        <v>498.09</v>
      </c>
      <c r="G60" s="13">
        <f>IFERROR('Data Sheet'!G68,0)</f>
        <v>875.62</v>
      </c>
      <c r="H60" s="13">
        <f>IFERROR('Data Sheet'!H68,0)</f>
        <v>1005.14</v>
      </c>
      <c r="I60" s="13">
        <f>IFERROR('Data Sheet'!I68,0)</f>
        <v>1192.05</v>
      </c>
      <c r="J60" s="13">
        <f>IFERROR('Data Sheet'!J68,0)</f>
        <v>1417.54</v>
      </c>
      <c r="K60" s="13">
        <f>IFERROR('Data Sheet'!K68,0)</f>
        <v>1642.16</v>
      </c>
    </row>
    <row r="61" spans="2:12" x14ac:dyDescent="0.35">
      <c r="B61" s="2" t="s">
        <v>43</v>
      </c>
      <c r="C61" s="13">
        <f>IFERROR('Data Sheet'!C69,0)</f>
        <v>37.69</v>
      </c>
      <c r="D61" s="13">
        <f>IFERROR('Data Sheet'!D69,0)</f>
        <v>11.94</v>
      </c>
      <c r="E61" s="13">
        <f>IFERROR('Data Sheet'!E69,0)</f>
        <v>175.62</v>
      </c>
      <c r="F61" s="13">
        <f>IFERROR('Data Sheet'!F69,0)</f>
        <v>247.67</v>
      </c>
      <c r="G61" s="13">
        <f>IFERROR('Data Sheet'!G69,0)</f>
        <v>267.04000000000002</v>
      </c>
      <c r="H61" s="13">
        <f>IFERROR('Data Sheet'!H69,0)</f>
        <v>148.74</v>
      </c>
      <c r="I61" s="13">
        <f>IFERROR('Data Sheet'!I69,0)</f>
        <v>239.86</v>
      </c>
      <c r="J61" s="13">
        <f>IFERROR('Data Sheet'!J69,0)</f>
        <v>217.15</v>
      </c>
      <c r="K61" s="13">
        <f>IFERROR('Data Sheet'!K69,0)</f>
        <v>320.02999999999997</v>
      </c>
    </row>
    <row r="62" spans="2:12" x14ac:dyDescent="0.35">
      <c r="B62" s="34" t="s">
        <v>85</v>
      </c>
      <c r="C62" s="32">
        <f>IFERROR(SUM(C59:C61),0)</f>
        <v>225.64999999999998</v>
      </c>
      <c r="D62" s="32">
        <f t="shared" ref="D62:K62" si="19">IFERROR(SUM(D59:D61),0)</f>
        <v>314.45999999999998</v>
      </c>
      <c r="E62" s="32">
        <f t="shared" si="19"/>
        <v>719.39</v>
      </c>
      <c r="F62" s="32">
        <f t="shared" si="19"/>
        <v>822.4</v>
      </c>
      <c r="G62" s="32">
        <f t="shared" si="19"/>
        <v>1237.19</v>
      </c>
      <c r="H62" s="32">
        <f t="shared" si="19"/>
        <v>1317.41</v>
      </c>
      <c r="I62" s="32">
        <f t="shared" si="19"/>
        <v>1673.5099999999998</v>
      </c>
      <c r="J62" s="32">
        <f t="shared" si="19"/>
        <v>1881.3000000000002</v>
      </c>
      <c r="K62" s="32">
        <f t="shared" si="19"/>
        <v>2251.5699999999997</v>
      </c>
    </row>
    <row r="64" spans="2:12" x14ac:dyDescent="0.35">
      <c r="B64" s="34" t="s">
        <v>82</v>
      </c>
      <c r="C64" s="32">
        <f>IFERROR(C62+C57,0)</f>
        <v>353.14</v>
      </c>
      <c r="D64" s="32">
        <f t="shared" ref="D64:K64" si="20">IFERROR(D62+D57,0)</f>
        <v>775.65000000000009</v>
      </c>
      <c r="E64" s="32">
        <f t="shared" si="20"/>
        <v>1124.48</v>
      </c>
      <c r="F64" s="32">
        <f t="shared" si="20"/>
        <v>1301.94</v>
      </c>
      <c r="G64" s="32">
        <f t="shared" si="20"/>
        <v>2646.04</v>
      </c>
      <c r="H64" s="32">
        <f t="shared" si="20"/>
        <v>2949.9700000000003</v>
      </c>
      <c r="I64" s="32">
        <f t="shared" si="20"/>
        <v>3400.63</v>
      </c>
      <c r="J64" s="32">
        <f t="shared" si="20"/>
        <v>3979.5299999999997</v>
      </c>
      <c r="K64" s="32">
        <f t="shared" si="20"/>
        <v>4611.38</v>
      </c>
    </row>
    <row r="66" spans="2:12" x14ac:dyDescent="0.35">
      <c r="B66" s="16" t="s">
        <v>86</v>
      </c>
      <c r="C66" s="17" t="b">
        <f>C64=C51</f>
        <v>1</v>
      </c>
      <c r="D66" s="17" t="b">
        <f t="shared" ref="D66:K66" si="21">D64=D51</f>
        <v>1</v>
      </c>
      <c r="E66" s="17" t="b">
        <f t="shared" si="21"/>
        <v>1</v>
      </c>
      <c r="F66" s="17" t="b">
        <f t="shared" si="21"/>
        <v>1</v>
      </c>
      <c r="G66" s="17" t="b">
        <f t="shared" si="21"/>
        <v>1</v>
      </c>
      <c r="H66" s="17" t="b">
        <f t="shared" si="21"/>
        <v>1</v>
      </c>
      <c r="I66" s="17" t="b">
        <f t="shared" si="21"/>
        <v>1</v>
      </c>
      <c r="J66" s="17" t="b">
        <f t="shared" si="21"/>
        <v>1</v>
      </c>
      <c r="K66" s="17" t="b">
        <f t="shared" si="21"/>
        <v>1</v>
      </c>
    </row>
    <row r="68" spans="2:12" x14ac:dyDescent="0.35">
      <c r="B68" s="26" t="s">
        <v>114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2:12" x14ac:dyDescent="0.35">
      <c r="B69" s="28" t="s">
        <v>116</v>
      </c>
    </row>
    <row r="70" spans="2:12" x14ac:dyDescent="0.35">
      <c r="B70" t="s">
        <v>87</v>
      </c>
      <c r="C70" s="13">
        <f>IFERROR('Cash Flow Data'!C4,0)</f>
        <v>-26</v>
      </c>
      <c r="D70" s="13">
        <f>IFERROR('Cash Flow Data'!D4,0)</f>
        <v>29</v>
      </c>
      <c r="E70" s="13">
        <f>IFERROR('Cash Flow Data'!E4,0)</f>
        <v>89</v>
      </c>
      <c r="F70" s="13">
        <f>IFERROR('Cash Flow Data'!F4,0)</f>
        <v>186</v>
      </c>
      <c r="G70" s="13">
        <f>IFERROR('Cash Flow Data'!G4,0)</f>
        <v>183</v>
      </c>
      <c r="H70" s="13">
        <f>IFERROR('Cash Flow Data'!H4,0)</f>
        <v>284</v>
      </c>
      <c r="I70" s="13">
        <f>IFERROR('Cash Flow Data'!I4,0)</f>
        <v>383</v>
      </c>
      <c r="J70" s="13">
        <f>IFERROR('Cash Flow Data'!J4,0)</f>
        <v>505</v>
      </c>
      <c r="K70" s="13">
        <f>IFERROR('Cash Flow Data'!K4,0)</f>
        <v>795</v>
      </c>
    </row>
    <row r="71" spans="2:12" x14ac:dyDescent="0.35">
      <c r="B71" t="s">
        <v>41</v>
      </c>
      <c r="C71" s="13">
        <f>IFERROR('Cash Flow Data'!C5,0)</f>
        <v>-48</v>
      </c>
      <c r="D71" s="13">
        <f>IFERROR('Cash Flow Data'!D5,0)</f>
        <v>7</v>
      </c>
      <c r="E71" s="13">
        <f>IFERROR('Cash Flow Data'!E5,0)</f>
        <v>-40</v>
      </c>
      <c r="F71" s="13">
        <f>IFERROR('Cash Flow Data'!F5,0)</f>
        <v>15</v>
      </c>
      <c r="G71" s="13">
        <f>IFERROR('Cash Flow Data'!G5,0)</f>
        <v>-14</v>
      </c>
      <c r="H71" s="13">
        <f>IFERROR('Cash Flow Data'!H5,0)</f>
        <v>-72</v>
      </c>
      <c r="I71" s="13">
        <f>IFERROR('Cash Flow Data'!I5,0)</f>
        <v>-89</v>
      </c>
      <c r="J71" s="13">
        <f>IFERROR('Cash Flow Data'!J5,0)</f>
        <v>-4</v>
      </c>
      <c r="K71" s="13">
        <f>IFERROR('Cash Flow Data'!K5,0)</f>
        <v>-47</v>
      </c>
    </row>
    <row r="72" spans="2:12" x14ac:dyDescent="0.35">
      <c r="B72" t="s">
        <v>42</v>
      </c>
      <c r="C72" s="13">
        <f>IFERROR('Cash Flow Data'!C6,0)</f>
        <v>-60</v>
      </c>
      <c r="D72" s="13">
        <f>IFERROR('Cash Flow Data'!D6,0)</f>
        <v>-126</v>
      </c>
      <c r="E72" s="13">
        <f>IFERROR('Cash Flow Data'!E6,0)</f>
        <v>-201</v>
      </c>
      <c r="F72" s="13">
        <f>IFERROR('Cash Flow Data'!F6,0)</f>
        <v>-47</v>
      </c>
      <c r="G72" s="13">
        <f>IFERROR('Cash Flow Data'!G6,0)</f>
        <v>-372</v>
      </c>
      <c r="H72" s="13">
        <f>IFERROR('Cash Flow Data'!H6,0)</f>
        <v>-130</v>
      </c>
      <c r="I72" s="13">
        <f>IFERROR('Cash Flow Data'!I6,0)</f>
        <v>-187</v>
      </c>
      <c r="J72" s="13">
        <f>IFERROR('Cash Flow Data'!J6,0)</f>
        <v>-217</v>
      </c>
      <c r="K72" s="13">
        <f>IFERROR('Cash Flow Data'!K6,0)</f>
        <v>-225</v>
      </c>
    </row>
    <row r="73" spans="2:12" x14ac:dyDescent="0.35">
      <c r="B73" t="s">
        <v>88</v>
      </c>
      <c r="C73" s="13">
        <f>IFERROR('Cash Flow Data'!C7,0)</f>
        <v>55</v>
      </c>
      <c r="D73" s="13">
        <f>IFERROR('Cash Flow Data'!D7,0)</f>
        <v>57</v>
      </c>
      <c r="E73" s="13">
        <f>IFERROR('Cash Flow Data'!E7,0)</f>
        <v>132</v>
      </c>
      <c r="F73" s="13">
        <f>IFERROR('Cash Flow Data'!F7,0)</f>
        <v>2</v>
      </c>
      <c r="G73" s="13">
        <f>IFERROR('Cash Flow Data'!G7,0)</f>
        <v>41</v>
      </c>
      <c r="H73" s="13">
        <f>IFERROR('Cash Flow Data'!H7,0)</f>
        <v>-99</v>
      </c>
      <c r="I73" s="13">
        <f>IFERROR('Cash Flow Data'!I7,0)</f>
        <v>122</v>
      </c>
      <c r="J73" s="13">
        <f>IFERROR('Cash Flow Data'!J7,0)</f>
        <v>246</v>
      </c>
      <c r="K73" s="13">
        <f>IFERROR('Cash Flow Data'!K7,0)</f>
        <v>98</v>
      </c>
    </row>
    <row r="74" spans="2:12" x14ac:dyDescent="0.35">
      <c r="B74" t="s">
        <v>89</v>
      </c>
      <c r="C74" s="13">
        <f>IFERROR('Cash Flow Data'!C8,0)</f>
        <v>-23</v>
      </c>
      <c r="D74" s="13">
        <f>IFERROR('Cash Flow Data'!D8,0)</f>
        <v>-6</v>
      </c>
      <c r="E74" s="13">
        <f>IFERROR('Cash Flow Data'!E8,0)</f>
        <v>-6</v>
      </c>
      <c r="F74" s="13">
        <f>IFERROR('Cash Flow Data'!F8,0)</f>
        <v>0</v>
      </c>
      <c r="G74" s="13">
        <f>IFERROR('Cash Flow Data'!G8,0)</f>
        <v>0</v>
      </c>
      <c r="H74" s="13">
        <f>IFERROR('Cash Flow Data'!H8,0)</f>
        <v>0</v>
      </c>
      <c r="I74" s="13">
        <f>IFERROR('Cash Flow Data'!I8,0)</f>
        <v>0</v>
      </c>
      <c r="J74" s="13">
        <f>IFERROR('Cash Flow Data'!J8,0)</f>
        <v>0</v>
      </c>
      <c r="K74" s="13">
        <f>IFERROR('Cash Flow Data'!K8,0)</f>
        <v>0</v>
      </c>
    </row>
    <row r="75" spans="2:12" x14ac:dyDescent="0.35">
      <c r="B75" t="s">
        <v>90</v>
      </c>
      <c r="C75" s="13">
        <f>IFERROR('Cash Flow Data'!C9,0)</f>
        <v>24</v>
      </c>
      <c r="D75" s="13">
        <f>IFERROR('Cash Flow Data'!D9,0)</f>
        <v>-60</v>
      </c>
      <c r="E75" s="13">
        <f>IFERROR('Cash Flow Data'!E9,0)</f>
        <v>37</v>
      </c>
      <c r="F75" s="13">
        <f>IFERROR('Cash Flow Data'!F9,0)</f>
        <v>-9</v>
      </c>
      <c r="G75" s="13">
        <f>IFERROR('Cash Flow Data'!G9,0)</f>
        <v>-121</v>
      </c>
      <c r="H75" s="13">
        <f>IFERROR('Cash Flow Data'!H9,0)</f>
        <v>-29</v>
      </c>
      <c r="I75" s="13">
        <f>IFERROR('Cash Flow Data'!I9,0)</f>
        <v>-97</v>
      </c>
      <c r="J75" s="13">
        <f>IFERROR('Cash Flow Data'!J9,0)</f>
        <v>-4</v>
      </c>
      <c r="K75" s="13">
        <f>IFERROR('Cash Flow Data'!K9,0)</f>
        <v>159</v>
      </c>
    </row>
    <row r="76" spans="2:12" x14ac:dyDescent="0.35">
      <c r="B76" t="s">
        <v>91</v>
      </c>
      <c r="C76" s="13">
        <f>IFERROR('Cash Flow Data'!C10,0)</f>
        <v>-53</v>
      </c>
      <c r="D76" s="13">
        <f>IFERROR('Cash Flow Data'!D10,0)</f>
        <v>-128</v>
      </c>
      <c r="E76" s="13">
        <f>IFERROR('Cash Flow Data'!E10,0)</f>
        <v>-79</v>
      </c>
      <c r="F76" s="13">
        <f>IFERROR('Cash Flow Data'!F10,0)</f>
        <v>-39</v>
      </c>
      <c r="G76" s="13">
        <f>IFERROR('Cash Flow Data'!G10,0)</f>
        <v>-465</v>
      </c>
      <c r="H76" s="13">
        <f>IFERROR('Cash Flow Data'!H10,0)</f>
        <v>-329</v>
      </c>
      <c r="I76" s="13">
        <f>IFERROR('Cash Flow Data'!I10,0)</f>
        <v>-251</v>
      </c>
      <c r="J76" s="13">
        <f>IFERROR('Cash Flow Data'!J10,0)</f>
        <v>21</v>
      </c>
      <c r="K76" s="13">
        <f>IFERROR('Cash Flow Data'!K10,0)</f>
        <v>-15</v>
      </c>
    </row>
    <row r="77" spans="2:12" x14ac:dyDescent="0.35">
      <c r="B77" t="s">
        <v>92</v>
      </c>
      <c r="C77" s="13">
        <f>IFERROR('Cash Flow Data'!C11,0)</f>
        <v>0</v>
      </c>
      <c r="D77" s="13">
        <f>IFERROR('Cash Flow Data'!D11,0)</f>
        <v>0</v>
      </c>
      <c r="E77" s="13">
        <f>IFERROR('Cash Flow Data'!E11,0)</f>
        <v>-4</v>
      </c>
      <c r="F77" s="13">
        <f>IFERROR('Cash Flow Data'!F11,0)</f>
        <v>-13</v>
      </c>
      <c r="G77" s="13">
        <f>IFERROR('Cash Flow Data'!G11,0)</f>
        <v>-72</v>
      </c>
      <c r="H77" s="13">
        <f>IFERROR('Cash Flow Data'!H11,0)</f>
        <v>-95</v>
      </c>
      <c r="I77" s="13">
        <f>IFERROR('Cash Flow Data'!I11,0)</f>
        <v>-131</v>
      </c>
      <c r="J77" s="13">
        <f>IFERROR('Cash Flow Data'!J11,0)</f>
        <v>-60</v>
      </c>
      <c r="K77" s="13">
        <f>IFERROR('Cash Flow Data'!K11,0)</f>
        <v>-135</v>
      </c>
    </row>
    <row r="78" spans="2:12" x14ac:dyDescent="0.35">
      <c r="B78" s="31" t="s">
        <v>115</v>
      </c>
      <c r="C78" s="32">
        <f>IFERROR(SUM(C70:C77),0)</f>
        <v>-131</v>
      </c>
      <c r="D78" s="32">
        <f t="shared" ref="D78:K78" si="22">IFERROR(SUM(D70:D77),0)</f>
        <v>-227</v>
      </c>
      <c r="E78" s="32">
        <f t="shared" si="22"/>
        <v>-72</v>
      </c>
      <c r="F78" s="32">
        <f t="shared" si="22"/>
        <v>95</v>
      </c>
      <c r="G78" s="32">
        <f t="shared" si="22"/>
        <v>-820</v>
      </c>
      <c r="H78" s="32">
        <f t="shared" si="22"/>
        <v>-470</v>
      </c>
      <c r="I78" s="32">
        <f t="shared" si="22"/>
        <v>-250</v>
      </c>
      <c r="J78" s="32">
        <f t="shared" si="22"/>
        <v>487</v>
      </c>
      <c r="K78" s="32">
        <f t="shared" si="22"/>
        <v>630</v>
      </c>
    </row>
    <row r="80" spans="2:12" x14ac:dyDescent="0.35">
      <c r="B80" s="28" t="s">
        <v>117</v>
      </c>
    </row>
    <row r="81" spans="2:11" x14ac:dyDescent="0.35">
      <c r="B81" t="s">
        <v>93</v>
      </c>
      <c r="C81" s="13">
        <f>IFERROR('Cash Flow Data'!C13,0)</f>
        <v>-27</v>
      </c>
      <c r="D81" s="13">
        <f>IFERROR('Cash Flow Data'!D13,0)</f>
        <v>-35</v>
      </c>
      <c r="E81" s="13">
        <f>IFERROR('Cash Flow Data'!E13,0)</f>
        <v>-46</v>
      </c>
      <c r="F81" s="13">
        <f>IFERROR('Cash Flow Data'!F13,0)</f>
        <v>-42</v>
      </c>
      <c r="G81" s="13">
        <f>IFERROR('Cash Flow Data'!G13,0)</f>
        <v>-94</v>
      </c>
      <c r="H81" s="13">
        <f>IFERROR('Cash Flow Data'!H13,0)</f>
        <v>-208</v>
      </c>
      <c r="I81" s="13">
        <f>IFERROR('Cash Flow Data'!I13,0)</f>
        <v>-111</v>
      </c>
      <c r="J81" s="13">
        <f>IFERROR('Cash Flow Data'!J13,0)</f>
        <v>-127</v>
      </c>
      <c r="K81" s="13">
        <f>IFERROR('Cash Flow Data'!K13,0)</f>
        <v>-154</v>
      </c>
    </row>
    <row r="82" spans="2:11" x14ac:dyDescent="0.35">
      <c r="B82" t="s">
        <v>94</v>
      </c>
      <c r="C82" s="13">
        <f>IFERROR('Cash Flow Data'!C14,0)</f>
        <v>0</v>
      </c>
      <c r="D82" s="13">
        <f>IFERROR('Cash Flow Data'!D14,0)</f>
        <v>0</v>
      </c>
      <c r="E82" s="13">
        <f>IFERROR('Cash Flow Data'!E14,0)</f>
        <v>0</v>
      </c>
      <c r="F82" s="13">
        <f>IFERROR('Cash Flow Data'!F14,0)</f>
        <v>0</v>
      </c>
      <c r="G82" s="13">
        <f>IFERROR('Cash Flow Data'!G14,0)</f>
        <v>0</v>
      </c>
      <c r="H82" s="13">
        <f>IFERROR('Cash Flow Data'!H14,0)</f>
        <v>0</v>
      </c>
      <c r="I82" s="13">
        <f>IFERROR('Cash Flow Data'!I14,0)</f>
        <v>0</v>
      </c>
      <c r="J82" s="13">
        <f>IFERROR('Cash Flow Data'!J14,0)</f>
        <v>0</v>
      </c>
      <c r="K82" s="13">
        <f>IFERROR('Cash Flow Data'!K14,0)</f>
        <v>2</v>
      </c>
    </row>
    <row r="83" spans="2:11" x14ac:dyDescent="0.35">
      <c r="B83" t="s">
        <v>95</v>
      </c>
      <c r="C83" s="13">
        <f>IFERROR('Cash Flow Data'!C15,0)</f>
        <v>0</v>
      </c>
      <c r="D83" s="13">
        <f>IFERROR('Cash Flow Data'!D15,0)</f>
        <v>-127</v>
      </c>
      <c r="E83" s="13">
        <f>IFERROR('Cash Flow Data'!E15,0)</f>
        <v>0</v>
      </c>
      <c r="F83" s="13">
        <f>IFERROR('Cash Flow Data'!F15,0)</f>
        <v>0</v>
      </c>
      <c r="G83" s="13">
        <f>IFERROR('Cash Flow Data'!G15,0)</f>
        <v>0</v>
      </c>
      <c r="H83" s="13">
        <f>IFERROR('Cash Flow Data'!H15,0)</f>
        <v>0</v>
      </c>
      <c r="I83" s="13">
        <f>IFERROR('Cash Flow Data'!I15,0)</f>
        <v>0</v>
      </c>
      <c r="J83" s="13">
        <f>IFERROR('Cash Flow Data'!J15,0)</f>
        <v>0</v>
      </c>
      <c r="K83" s="13">
        <f>IFERROR('Cash Flow Data'!K15,0)</f>
        <v>0</v>
      </c>
    </row>
    <row r="84" spans="2:11" x14ac:dyDescent="0.35">
      <c r="B84" t="s">
        <v>96</v>
      </c>
      <c r="C84" s="13">
        <f>IFERROR('Cash Flow Data'!C16,0)</f>
        <v>56</v>
      </c>
      <c r="D84" s="13">
        <f>IFERROR('Cash Flow Data'!D16,0)</f>
        <v>0</v>
      </c>
      <c r="E84" s="13">
        <f>IFERROR('Cash Flow Data'!E16,0)</f>
        <v>134</v>
      </c>
      <c r="F84" s="13">
        <f>IFERROR('Cash Flow Data'!F16,0)</f>
        <v>0</v>
      </c>
      <c r="G84" s="13">
        <f>IFERROR('Cash Flow Data'!G16,0)</f>
        <v>1</v>
      </c>
      <c r="H84" s="13">
        <f>IFERROR('Cash Flow Data'!H16,0)</f>
        <v>0</v>
      </c>
      <c r="I84" s="13">
        <f>IFERROR('Cash Flow Data'!I16,0)</f>
        <v>0</v>
      </c>
      <c r="J84" s="13">
        <f>IFERROR('Cash Flow Data'!J16,0)</f>
        <v>0</v>
      </c>
      <c r="K84" s="13">
        <f>IFERROR('Cash Flow Data'!K16,0)</f>
        <v>0</v>
      </c>
    </row>
    <row r="85" spans="2:11" x14ac:dyDescent="0.35">
      <c r="B85" t="s">
        <v>97</v>
      </c>
      <c r="C85" s="13">
        <f>IFERROR('Cash Flow Data'!C17,0)</f>
        <v>0</v>
      </c>
      <c r="D85" s="13">
        <f>IFERROR('Cash Flow Data'!D17,0)</f>
        <v>0</v>
      </c>
      <c r="E85" s="13">
        <f>IFERROR('Cash Flow Data'!E17,0)</f>
        <v>0</v>
      </c>
      <c r="F85" s="13">
        <f>IFERROR('Cash Flow Data'!F17,0)</f>
        <v>4</v>
      </c>
      <c r="G85" s="13">
        <f>IFERROR('Cash Flow Data'!G17,0)</f>
        <v>17</v>
      </c>
      <c r="H85" s="13">
        <f>IFERROR('Cash Flow Data'!H17,0)</f>
        <v>18</v>
      </c>
      <c r="I85" s="13">
        <f>IFERROR('Cash Flow Data'!I17,0)</f>
        <v>22</v>
      </c>
      <c r="J85" s="13">
        <f>IFERROR('Cash Flow Data'!J17,0)</f>
        <v>10</v>
      </c>
      <c r="K85" s="13">
        <f>IFERROR('Cash Flow Data'!K17,0)</f>
        <v>20</v>
      </c>
    </row>
    <row r="86" spans="2:11" x14ac:dyDescent="0.35">
      <c r="B86" t="s">
        <v>98</v>
      </c>
      <c r="C86" s="13">
        <f>IFERROR('Cash Flow Data'!C18,0)</f>
        <v>0</v>
      </c>
      <c r="D86" s="13">
        <f>IFERROR('Cash Flow Data'!D18,0)</f>
        <v>0</v>
      </c>
      <c r="E86" s="13">
        <f>IFERROR('Cash Flow Data'!E18,0)</f>
        <v>0</v>
      </c>
      <c r="F86" s="13">
        <f>IFERROR('Cash Flow Data'!F18,0)</f>
        <v>0</v>
      </c>
      <c r="G86" s="13">
        <f>IFERROR('Cash Flow Data'!G18,0)</f>
        <v>-51</v>
      </c>
      <c r="H86" s="13">
        <f>IFERROR('Cash Flow Data'!H18,0)</f>
        <v>-29</v>
      </c>
      <c r="I86" s="13">
        <f>IFERROR('Cash Flow Data'!I18,0)</f>
        <v>0</v>
      </c>
      <c r="J86" s="13">
        <f>IFERROR('Cash Flow Data'!J18,0)</f>
        <v>0</v>
      </c>
      <c r="K86" s="13">
        <f>IFERROR('Cash Flow Data'!K18,0)</f>
        <v>0</v>
      </c>
    </row>
    <row r="87" spans="2:11" x14ac:dyDescent="0.35">
      <c r="B87" t="s">
        <v>99</v>
      </c>
      <c r="C87" s="13">
        <f>IFERROR('Cash Flow Data'!C19,0)</f>
        <v>0</v>
      </c>
      <c r="D87" s="13">
        <f>IFERROR('Cash Flow Data'!D19,0)</f>
        <v>0</v>
      </c>
      <c r="E87" s="13">
        <f>IFERROR('Cash Flow Data'!E19,0)</f>
        <v>0</v>
      </c>
      <c r="F87" s="13">
        <f>IFERROR('Cash Flow Data'!F19,0)</f>
        <v>0</v>
      </c>
      <c r="G87" s="13">
        <f>IFERROR('Cash Flow Data'!G19,0)</f>
        <v>0</v>
      </c>
      <c r="H87" s="13">
        <f>IFERROR('Cash Flow Data'!H19,0)</f>
        <v>-42</v>
      </c>
      <c r="I87" s="13">
        <f>IFERROR('Cash Flow Data'!I19,0)</f>
        <v>0</v>
      </c>
      <c r="J87" s="13">
        <f>IFERROR('Cash Flow Data'!J19,0)</f>
        <v>0</v>
      </c>
      <c r="K87" s="13">
        <f>IFERROR('Cash Flow Data'!K19,0)</f>
        <v>0</v>
      </c>
    </row>
    <row r="88" spans="2:11" x14ac:dyDescent="0.35">
      <c r="B88" t="s">
        <v>100</v>
      </c>
      <c r="C88" s="13">
        <f>IFERROR('Cash Flow Data'!C20,0)</f>
        <v>0</v>
      </c>
      <c r="D88" s="13">
        <f>IFERROR('Cash Flow Data'!D20,0)</f>
        <v>0</v>
      </c>
      <c r="E88" s="13">
        <f>IFERROR('Cash Flow Data'!E20,0)</f>
        <v>0</v>
      </c>
      <c r="F88" s="13">
        <f>IFERROR('Cash Flow Data'!F20,0)</f>
        <v>0</v>
      </c>
      <c r="G88" s="13">
        <f>IFERROR('Cash Flow Data'!G20,0)</f>
        <v>0</v>
      </c>
      <c r="H88" s="13">
        <f>IFERROR('Cash Flow Data'!H20,0)</f>
        <v>0</v>
      </c>
      <c r="I88" s="13">
        <f>IFERROR('Cash Flow Data'!I20,0)</f>
        <v>0</v>
      </c>
      <c r="J88" s="13">
        <f>IFERROR('Cash Flow Data'!J20,0)</f>
        <v>-29</v>
      </c>
      <c r="K88" s="13">
        <f>IFERROR('Cash Flow Data'!K20,0)</f>
        <v>0</v>
      </c>
    </row>
    <row r="89" spans="2:11" x14ac:dyDescent="0.35">
      <c r="B89" t="s">
        <v>101</v>
      </c>
      <c r="C89" s="13">
        <f>IFERROR('Cash Flow Data'!C21,0)</f>
        <v>1</v>
      </c>
      <c r="D89" s="13">
        <f>IFERROR('Cash Flow Data'!D21,0)</f>
        <v>0</v>
      </c>
      <c r="E89" s="13">
        <f>IFERROR('Cash Flow Data'!E21,0)</f>
        <v>-74</v>
      </c>
      <c r="F89" s="13">
        <f>IFERROR('Cash Flow Data'!F21,0)</f>
        <v>-91</v>
      </c>
      <c r="G89" s="13">
        <f>IFERROR('Cash Flow Data'!G21,0)</f>
        <v>-475</v>
      </c>
      <c r="H89" s="13">
        <f>IFERROR('Cash Flow Data'!H21,0)</f>
        <v>400</v>
      </c>
      <c r="I89" s="13">
        <f>IFERROR('Cash Flow Data'!I21,0)</f>
        <v>79</v>
      </c>
      <c r="J89" s="13">
        <f>IFERROR('Cash Flow Data'!J21,0)</f>
        <v>-59</v>
      </c>
      <c r="K89" s="13">
        <f>IFERROR('Cash Flow Data'!K21,0)</f>
        <v>-27</v>
      </c>
    </row>
    <row r="90" spans="2:11" x14ac:dyDescent="0.35">
      <c r="B90" s="31" t="s">
        <v>118</v>
      </c>
      <c r="C90" s="32">
        <f>IFERROR(SUM(C81:C89),0)</f>
        <v>30</v>
      </c>
      <c r="D90" s="32">
        <f t="shared" ref="D90:K90" si="23">IFERROR(SUM(D81:D89),0)</f>
        <v>-162</v>
      </c>
      <c r="E90" s="32">
        <f t="shared" si="23"/>
        <v>14</v>
      </c>
      <c r="F90" s="32">
        <f t="shared" si="23"/>
        <v>-129</v>
      </c>
      <c r="G90" s="32">
        <f t="shared" si="23"/>
        <v>-602</v>
      </c>
      <c r="H90" s="32">
        <f t="shared" si="23"/>
        <v>139</v>
      </c>
      <c r="I90" s="32">
        <f t="shared" si="23"/>
        <v>-10</v>
      </c>
      <c r="J90" s="32">
        <f t="shared" si="23"/>
        <v>-205</v>
      </c>
      <c r="K90" s="32">
        <f t="shared" si="23"/>
        <v>-159</v>
      </c>
    </row>
    <row r="92" spans="2:11" x14ac:dyDescent="0.35">
      <c r="B92" s="28" t="s">
        <v>119</v>
      </c>
    </row>
    <row r="93" spans="2:11" x14ac:dyDescent="0.35">
      <c r="B93" t="s">
        <v>102</v>
      </c>
      <c r="C93" s="13">
        <f>IFERROR('Cash Flow Data'!C23,0)</f>
        <v>0</v>
      </c>
      <c r="D93" s="13">
        <f>IFERROR('Cash Flow Data'!D23,0)</f>
        <v>134</v>
      </c>
      <c r="E93" s="13">
        <f>IFERROR('Cash Flow Data'!E23,0)</f>
        <v>104</v>
      </c>
      <c r="F93" s="13">
        <f>IFERROR('Cash Flow Data'!F23,0)</f>
        <v>103</v>
      </c>
      <c r="G93" s="13">
        <f>IFERROR('Cash Flow Data'!G23,0)</f>
        <v>873</v>
      </c>
      <c r="H93" s="13">
        <f>IFERROR('Cash Flow Data'!H23,0)</f>
        <v>29</v>
      </c>
      <c r="I93" s="13">
        <f>IFERROR('Cash Flow Data'!I23,0)</f>
        <v>17</v>
      </c>
      <c r="J93" s="13">
        <f>IFERROR('Cash Flow Data'!J23,0)</f>
        <v>18</v>
      </c>
      <c r="K93" s="13">
        <f>IFERROR('Cash Flow Data'!K23,0)</f>
        <v>39</v>
      </c>
    </row>
    <row r="94" spans="2:11" x14ac:dyDescent="0.35">
      <c r="B94" t="s">
        <v>103</v>
      </c>
      <c r="C94" s="13">
        <f>IFERROR('Cash Flow Data'!C24,0)</f>
        <v>54</v>
      </c>
      <c r="D94" s="13">
        <f>IFERROR('Cash Flow Data'!D24,0)</f>
        <v>143</v>
      </c>
      <c r="E94" s="13">
        <f>IFERROR('Cash Flow Data'!E24,0)</f>
        <v>42</v>
      </c>
      <c r="F94" s="13">
        <f>IFERROR('Cash Flow Data'!F24,0)</f>
        <v>2</v>
      </c>
      <c r="G94" s="13">
        <f>IFERROR('Cash Flow Data'!G24,0)</f>
        <v>146</v>
      </c>
      <c r="H94" s="13">
        <f>IFERROR('Cash Flow Data'!H24,0)</f>
        <v>127</v>
      </c>
      <c r="I94" s="13">
        <f>IFERROR('Cash Flow Data'!I24,0)</f>
        <v>220</v>
      </c>
      <c r="J94" s="13">
        <f>IFERROR('Cash Flow Data'!J24,0)</f>
        <v>277</v>
      </c>
      <c r="K94" s="13">
        <f>IFERROR('Cash Flow Data'!K24,0)</f>
        <v>6</v>
      </c>
    </row>
    <row r="95" spans="2:11" x14ac:dyDescent="0.35">
      <c r="B95" t="s">
        <v>104</v>
      </c>
      <c r="C95" s="13">
        <f>IFERROR('Cash Flow Data'!C25,0)</f>
        <v>0</v>
      </c>
      <c r="D95" s="13">
        <f>IFERROR('Cash Flow Data'!D25,0)</f>
        <v>0</v>
      </c>
      <c r="E95" s="13">
        <f>IFERROR('Cash Flow Data'!E25,0)</f>
        <v>0</v>
      </c>
      <c r="F95" s="13">
        <f>IFERROR('Cash Flow Data'!F25,0)</f>
        <v>-82</v>
      </c>
      <c r="G95" s="13">
        <f>IFERROR('Cash Flow Data'!G25,0)</f>
        <v>-1</v>
      </c>
      <c r="H95" s="13">
        <f>IFERROR('Cash Flow Data'!H25,0)</f>
        <v>-1</v>
      </c>
      <c r="I95" s="13">
        <f>IFERROR('Cash Flow Data'!I25,0)</f>
        <v>0</v>
      </c>
      <c r="J95" s="13">
        <f>IFERROR('Cash Flow Data'!J25,0)</f>
        <v>0</v>
      </c>
      <c r="K95" s="13">
        <f>IFERROR('Cash Flow Data'!K25,0)</f>
        <v>-214</v>
      </c>
    </row>
    <row r="96" spans="2:11" x14ac:dyDescent="0.35">
      <c r="B96" t="s">
        <v>105</v>
      </c>
      <c r="C96" s="13">
        <f>IFERROR('Cash Flow Data'!C26,0)</f>
        <v>-7</v>
      </c>
      <c r="D96" s="13">
        <f>IFERROR('Cash Flow Data'!D26,0)</f>
        <v>-26</v>
      </c>
      <c r="E96" s="13">
        <f>IFERROR('Cash Flow Data'!E26,0)</f>
        <v>-44</v>
      </c>
      <c r="F96" s="13">
        <f>IFERROR('Cash Flow Data'!F26,0)</f>
        <v>-31</v>
      </c>
      <c r="G96" s="13">
        <f>IFERROR('Cash Flow Data'!G26,0)</f>
        <v>-46</v>
      </c>
      <c r="H96" s="13">
        <f>IFERROR('Cash Flow Data'!H26,0)</f>
        <v>-68</v>
      </c>
      <c r="I96" s="13">
        <f>IFERROR('Cash Flow Data'!I26,0)</f>
        <v>-87</v>
      </c>
      <c r="J96" s="13">
        <f>IFERROR('Cash Flow Data'!J26,0)</f>
        <v>-106</v>
      </c>
      <c r="K96" s="13">
        <f>IFERROR('Cash Flow Data'!K26,0)</f>
        <v>-119</v>
      </c>
    </row>
    <row r="97" spans="2:11" x14ac:dyDescent="0.35">
      <c r="B97" t="s">
        <v>106</v>
      </c>
      <c r="C97" s="13">
        <f>IFERROR('Cash Flow Data'!C27,0)</f>
        <v>0</v>
      </c>
      <c r="D97" s="13">
        <f>IFERROR('Cash Flow Data'!D27,0)</f>
        <v>-15</v>
      </c>
      <c r="E97" s="13">
        <f>IFERROR('Cash Flow Data'!E27,0)</f>
        <v>-33</v>
      </c>
      <c r="F97" s="13">
        <f>IFERROR('Cash Flow Data'!F27,0)</f>
        <v>-30</v>
      </c>
      <c r="G97" s="13">
        <f>IFERROR('Cash Flow Data'!G27,0)</f>
        <v>-45</v>
      </c>
      <c r="H97" s="13">
        <f>IFERROR('Cash Flow Data'!H27,0)</f>
        <v>-82</v>
      </c>
      <c r="I97" s="13">
        <f>IFERROR('Cash Flow Data'!I27,0)</f>
        <v>-117</v>
      </c>
      <c r="J97" s="13">
        <f>IFERROR('Cash Flow Data'!J27,0)</f>
        <v>-146</v>
      </c>
      <c r="K97" s="13">
        <f>IFERROR('Cash Flow Data'!K27,0)</f>
        <v>-173</v>
      </c>
    </row>
    <row r="98" spans="2:11" x14ac:dyDescent="0.35">
      <c r="B98" t="s">
        <v>107</v>
      </c>
      <c r="C98" s="13">
        <f>IFERROR('Cash Flow Data'!C28,0)</f>
        <v>35</v>
      </c>
      <c r="D98" s="13">
        <f>IFERROR('Cash Flow Data'!D28,0)</f>
        <v>0</v>
      </c>
      <c r="E98" s="13">
        <f>IFERROR('Cash Flow Data'!E28,0)</f>
        <v>0</v>
      </c>
      <c r="F98" s="13">
        <f>IFERROR('Cash Flow Data'!F28,0)</f>
        <v>0</v>
      </c>
      <c r="G98" s="13">
        <f>IFERROR('Cash Flow Data'!G28,0)</f>
        <v>0</v>
      </c>
      <c r="H98" s="13">
        <f>IFERROR('Cash Flow Data'!H28,0)</f>
        <v>0</v>
      </c>
      <c r="I98" s="13">
        <f>IFERROR('Cash Flow Data'!I28,0)</f>
        <v>0</v>
      </c>
      <c r="J98" s="13">
        <f>IFERROR('Cash Flow Data'!J28,0)</f>
        <v>0</v>
      </c>
      <c r="K98" s="13">
        <f>IFERROR('Cash Flow Data'!K28,0)</f>
        <v>0</v>
      </c>
    </row>
    <row r="99" spans="2:11" x14ac:dyDescent="0.35">
      <c r="B99" t="s">
        <v>108</v>
      </c>
      <c r="C99" s="13">
        <f>IFERROR('Cash Flow Data'!C29,0)</f>
        <v>0</v>
      </c>
      <c r="D99" s="13">
        <f>IFERROR('Cash Flow Data'!D29,0)</f>
        <v>0</v>
      </c>
      <c r="E99" s="13">
        <f>IFERROR('Cash Flow Data'!E29,0)</f>
        <v>0</v>
      </c>
      <c r="F99" s="13">
        <f>IFERROR('Cash Flow Data'!F29,0)</f>
        <v>0</v>
      </c>
      <c r="G99" s="13">
        <f>IFERROR('Cash Flow Data'!G29,0)</f>
        <v>0</v>
      </c>
      <c r="H99" s="13">
        <f>IFERROR('Cash Flow Data'!H29,0)</f>
        <v>0</v>
      </c>
      <c r="I99" s="13">
        <f>IFERROR('Cash Flow Data'!I29,0)</f>
        <v>11</v>
      </c>
      <c r="J99" s="13">
        <f>IFERROR('Cash Flow Data'!J29,0)</f>
        <v>-255</v>
      </c>
      <c r="K99" s="13">
        <f>IFERROR('Cash Flow Data'!K29,0)</f>
        <v>29</v>
      </c>
    </row>
    <row r="100" spans="2:11" x14ac:dyDescent="0.35">
      <c r="B100" s="31" t="s">
        <v>120</v>
      </c>
      <c r="C100" s="32">
        <f>IFERROR(SUM(C93:C99),0)</f>
        <v>82</v>
      </c>
      <c r="D100" s="32">
        <f t="shared" ref="D100:K100" si="24">IFERROR(SUM(D93:D99),0)</f>
        <v>236</v>
      </c>
      <c r="E100" s="32">
        <f t="shared" si="24"/>
        <v>69</v>
      </c>
      <c r="F100" s="32">
        <f t="shared" si="24"/>
        <v>-38</v>
      </c>
      <c r="G100" s="32">
        <f t="shared" si="24"/>
        <v>927</v>
      </c>
      <c r="H100" s="32">
        <f t="shared" si="24"/>
        <v>5</v>
      </c>
      <c r="I100" s="32">
        <f t="shared" si="24"/>
        <v>44</v>
      </c>
      <c r="J100" s="32">
        <f t="shared" si="24"/>
        <v>-212</v>
      </c>
      <c r="K100" s="32">
        <f t="shared" si="24"/>
        <v>-432</v>
      </c>
    </row>
    <row r="102" spans="2:11" x14ac:dyDescent="0.35">
      <c r="B102" s="32" t="s">
        <v>51</v>
      </c>
      <c r="C102" s="32">
        <f>IFERROR(C100+C90+C78,0)</f>
        <v>-19</v>
      </c>
      <c r="D102" s="32">
        <f t="shared" ref="D102:K102" si="25">IFERROR(D100+D90+D78,0)</f>
        <v>-153</v>
      </c>
      <c r="E102" s="32">
        <f t="shared" si="25"/>
        <v>11</v>
      </c>
      <c r="F102" s="32">
        <f t="shared" si="25"/>
        <v>-72</v>
      </c>
      <c r="G102" s="32">
        <f t="shared" si="25"/>
        <v>-495</v>
      </c>
      <c r="H102" s="32">
        <f t="shared" si="25"/>
        <v>-326</v>
      </c>
      <c r="I102" s="32">
        <f t="shared" si="25"/>
        <v>-216</v>
      </c>
      <c r="J102" s="32">
        <f t="shared" si="25"/>
        <v>70</v>
      </c>
      <c r="K102" s="32">
        <f t="shared" si="25"/>
        <v>39</v>
      </c>
    </row>
  </sheetData>
  <mergeCells count="1">
    <mergeCell ref="B2:L2"/>
  </mergeCells>
  <pageMargins left="0.7" right="0.7" top="0.75" bottom="0.75" header="0.3" footer="0.3"/>
  <ignoredErrors>
    <ignoredError sqref="L6 L9 L21 L24 C15:L15 L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215E-0B06-4F6E-A011-BF080223FC1B}">
  <dimension ref="B2:N40"/>
  <sheetViews>
    <sheetView showGridLines="0" workbookViewId="0">
      <pane ySplit="3" topLeftCell="A15" activePane="bottomLeft" state="frozen"/>
      <selection pane="bottomLeft" activeCell="C27" sqref="C27"/>
    </sheetView>
  </sheetViews>
  <sheetFormatPr defaultRowHeight="14.5" x14ac:dyDescent="0.35"/>
  <cols>
    <col min="1" max="1" width="1.81640625" customWidth="1"/>
    <col min="2" max="2" width="24.54296875" bestFit="1" customWidth="1"/>
    <col min="3" max="3" width="9.36328125" bestFit="1" customWidth="1"/>
    <col min="12" max="12" width="16.6328125" customWidth="1"/>
  </cols>
  <sheetData>
    <row r="2" spans="2:14" x14ac:dyDescent="0.35">
      <c r="B2" s="55" t="str">
        <f>"Ratio Analysis - "&amp;'Data Sheet'!B1</f>
        <v>Ratio Analysis - FSN E-COMMERCE VENTURES LTD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14" x14ac:dyDescent="0.35">
      <c r="B3" s="9" t="s">
        <v>0</v>
      </c>
      <c r="C3" s="10">
        <f>'Data Sheet'!C16</f>
        <v>43190</v>
      </c>
      <c r="D3" s="10">
        <f>'Data Sheet'!D16</f>
        <v>43555</v>
      </c>
      <c r="E3" s="10">
        <f>'Data Sheet'!E16</f>
        <v>43921</v>
      </c>
      <c r="F3" s="10">
        <f>'Data Sheet'!F16</f>
        <v>44286</v>
      </c>
      <c r="G3" s="10">
        <f>'Data Sheet'!G16</f>
        <v>44651</v>
      </c>
      <c r="H3" s="10">
        <f>'Data Sheet'!H16</f>
        <v>45016</v>
      </c>
      <c r="I3" s="10">
        <f>'Data Sheet'!I16</f>
        <v>45382</v>
      </c>
      <c r="J3" s="10">
        <f>'Data Sheet'!J16</f>
        <v>45747</v>
      </c>
      <c r="K3" s="10">
        <f>'Data Sheet'!K16</f>
        <v>46112</v>
      </c>
      <c r="L3" s="11" t="s">
        <v>151</v>
      </c>
      <c r="M3" s="11" t="s">
        <v>149</v>
      </c>
      <c r="N3" s="11" t="s">
        <v>150</v>
      </c>
    </row>
    <row r="5" spans="2:14" x14ac:dyDescent="0.35">
      <c r="B5" s="36" t="s">
        <v>57</v>
      </c>
      <c r="C5" s="36"/>
      <c r="D5" s="37">
        <f>IFERROR(HistoricalFS!D16,0)</f>
        <v>0.23644265289412358</v>
      </c>
      <c r="E5" s="37">
        <f>IFERROR(HistoricalFS!E16,0)</f>
        <v>0.2259197863685482</v>
      </c>
      <c r="F5" s="37">
        <f>IFERROR(HistoricalFS!F16,0)</f>
        <v>0.17013396697939284</v>
      </c>
      <c r="G5" s="37">
        <f>IFERROR(HistoricalFS!G16,0)</f>
        <v>0.24176060032750918</v>
      </c>
      <c r="H5" s="37">
        <f>IFERROR(HistoricalFS!H16,0)</f>
        <v>0.255363738870096</v>
      </c>
      <c r="I5" s="37">
        <f>IFERROR(HistoricalFS!I16,0)</f>
        <v>0.25317314031661714</v>
      </c>
      <c r="J5" s="37">
        <f>IFERROR(HistoricalFS!J16,0)</f>
        <v>0.26324495397380065</v>
      </c>
      <c r="K5" s="37">
        <f>IFERROR(HistoricalFS!K16,0)</f>
        <v>0.298530783698434</v>
      </c>
      <c r="L5" s="36"/>
      <c r="M5" s="38">
        <f>IFERROR(AVERAGE(D5:K5),0)</f>
        <v>0.24307120292856521</v>
      </c>
      <c r="N5" s="38">
        <f>IFERROR(MEDIAN(D5:K5),0)</f>
        <v>0.24746687032206316</v>
      </c>
    </row>
    <row r="6" spans="2:14" x14ac:dyDescent="0.35">
      <c r="B6" t="s">
        <v>122</v>
      </c>
      <c r="D6" s="15">
        <f>IFERROR(HistoricalFS!D18/HistoricalFS!C18-1,0)</f>
        <v>-1.7839158211198827</v>
      </c>
      <c r="E6" s="15">
        <f>IFERROR(HistoricalFS!E18/HistoricalFS!D18-1,0)</f>
        <v>2.9789069990412327</v>
      </c>
      <c r="F6" s="15">
        <f>IFERROR(HistoricalFS!F18/HistoricalFS!E18-1,0)</f>
        <v>0.90650602409637582</v>
      </c>
      <c r="G6" s="15">
        <f>IFERROR(HistoricalFS!G18/HistoricalFS!F18-1,0)</f>
        <v>3.6716380182002739E-2</v>
      </c>
      <c r="H6" s="15">
        <f>IFERROR(HistoricalFS!H18/HistoricalFS!G18-1,0)</f>
        <v>0.56696129228893799</v>
      </c>
      <c r="I6" s="15">
        <f>IFERROR(HistoricalFS!I18/HistoricalFS!H18-1,0)</f>
        <v>0.34941258850073753</v>
      </c>
      <c r="J6" s="15">
        <f>IFERROR(HistoricalFS!J18/HistoricalFS!I18-1,0)</f>
        <v>0.36871540590405782</v>
      </c>
      <c r="K6" s="15">
        <f>IFERROR(HistoricalFS!K18/HistoricalFS!J18-1,0)</f>
        <v>0.58454442057374201</v>
      </c>
      <c r="M6" s="39">
        <f t="shared" ref="M6:M9" si="0">IFERROR(AVERAGE(D6:K6),0)</f>
        <v>0.50098091118340049</v>
      </c>
      <c r="N6" s="39">
        <f t="shared" ref="N6:N40" si="1">IFERROR(MEDIAN(D6:K6),0)</f>
        <v>0.46783834909649791</v>
      </c>
    </row>
    <row r="7" spans="2:14" x14ac:dyDescent="0.35">
      <c r="B7" t="s">
        <v>135</v>
      </c>
      <c r="D7" s="15">
        <f>IFERROR(HistoricalFS!D27/HistoricalFS!C27-1,0)</f>
        <v>-0.10833130920573375</v>
      </c>
      <c r="E7" s="15">
        <f>IFERROR(HistoricalFS!E27/HistoricalFS!D27-1,0)</f>
        <v>-0.38027785344593723</v>
      </c>
      <c r="F7" s="15">
        <f>IFERROR(HistoricalFS!F27/HistoricalFS!E27-1,0)</f>
        <v>-3.3894505494505895</v>
      </c>
      <c r="G7" s="15">
        <f>IFERROR(HistoricalFS!G27/HistoricalFS!F27-1,0)</f>
        <v>-0.62582781456953451</v>
      </c>
      <c r="H7" s="15">
        <f>IFERROR(HistoricalFS!H27/HistoricalFS!G27-1,0)</f>
        <v>-0.5978367748279072</v>
      </c>
      <c r="I7" s="15">
        <f>IFERROR(HistoricalFS!I27/HistoricalFS!H27-1,0)</f>
        <v>3.7787286063567498</v>
      </c>
      <c r="J7" s="15">
        <f>IFERROR(HistoricalFS!J27/HistoricalFS!I27-1,0)</f>
        <v>1.5630596060373341</v>
      </c>
      <c r="K7" s="15">
        <f>IFERROR(HistoricalFS!K27/HistoricalFS!J27-1,0)</f>
        <v>2.1426290048907237</v>
      </c>
      <c r="M7" s="39">
        <f t="shared" si="0"/>
        <v>0.29783661447313814</v>
      </c>
      <c r="N7" s="39">
        <f t="shared" si="1"/>
        <v>-0.24430458132583549</v>
      </c>
    </row>
    <row r="8" spans="2:14" x14ac:dyDescent="0.35">
      <c r="B8" t="s">
        <v>123</v>
      </c>
      <c r="D8" s="15">
        <f>IFERROR(HistoricalFS!D33/HistoricalFS!C33-1,0)</f>
        <v>-7.4294670846396849E-2</v>
      </c>
      <c r="E8" s="15">
        <f>IFERROR(HistoricalFS!E33/HistoricalFS!D33-1,0)</f>
        <v>-9.7189299017959141E-2</v>
      </c>
      <c r="F8" s="15">
        <f>IFERROR(HistoricalFS!F33/HistoricalFS!E33-1,0)</f>
        <v>-2.8709677419355097</v>
      </c>
      <c r="G8" s="15">
        <f>IFERROR(HistoricalFS!G33/HistoricalFS!F33-1,0)</f>
        <v>-0.71291098636727934</v>
      </c>
      <c r="H8" s="15">
        <f>IFERROR(HistoricalFS!H33/HistoricalFS!G33-1,0)</f>
        <v>-1.3763966480446621</v>
      </c>
      <c r="I8" s="15">
        <f>IFERROR(HistoricalFS!I33/HistoricalFS!H33-1,0)</f>
        <v>-3.5547309833026306</v>
      </c>
      <c r="J8" s="15">
        <f>IFERROR(HistoricalFS!J33/HistoricalFS!I33-1,0)</f>
        <v>2.3725490196077907</v>
      </c>
      <c r="K8" s="15">
        <f>IFERROR(HistoricalFS!K33/HistoricalFS!J33-1,0)</f>
        <v>3.0605081826012439</v>
      </c>
      <c r="M8" s="39">
        <f t="shared" si="0"/>
        <v>-0.40667914091317547</v>
      </c>
      <c r="N8" s="39">
        <f t="shared" si="1"/>
        <v>-0.40505014269261924</v>
      </c>
    </row>
    <row r="9" spans="2:14" x14ac:dyDescent="0.35">
      <c r="B9" s="40" t="s">
        <v>124</v>
      </c>
      <c r="C9" s="40"/>
      <c r="D9" s="41">
        <f>IFERROR(HistoricalFS!D41/HistoricalFS!C41-1,0)</f>
        <v>0</v>
      </c>
      <c r="E9" s="41">
        <f>IFERROR(HistoricalFS!E41/HistoricalFS!D41-1,0)</f>
        <v>0</v>
      </c>
      <c r="F9" s="41">
        <f>IFERROR(HistoricalFS!F41/HistoricalFS!E41-1,0)</f>
        <v>0</v>
      </c>
      <c r="G9" s="41">
        <f>IFERROR(HistoricalFS!G41/HistoricalFS!F41-1,0)</f>
        <v>0</v>
      </c>
      <c r="H9" s="41">
        <f>IFERROR(HistoricalFS!H41/HistoricalFS!G41-1,0)</f>
        <v>0</v>
      </c>
      <c r="I9" s="41">
        <f>IFERROR(HistoricalFS!I41/HistoricalFS!H41-1,0)</f>
        <v>0</v>
      </c>
      <c r="J9" s="41">
        <f>IFERROR(HistoricalFS!J41/HistoricalFS!I41-1,0)</f>
        <v>0</v>
      </c>
      <c r="K9" s="41">
        <f>IFERROR(HistoricalFS!K41/HistoricalFS!J41-1,0)</f>
        <v>0</v>
      </c>
      <c r="L9" s="40"/>
      <c r="M9" s="42">
        <f t="shared" si="0"/>
        <v>0</v>
      </c>
      <c r="N9" s="42">
        <f t="shared" si="1"/>
        <v>0</v>
      </c>
    </row>
    <row r="10" spans="2:14" x14ac:dyDescent="0.35">
      <c r="N10" s="35"/>
    </row>
    <row r="11" spans="2:14" x14ac:dyDescent="0.35">
      <c r="B11" s="36" t="s">
        <v>121</v>
      </c>
      <c r="C11" s="37">
        <f>IFERROR(HistoricalFS!C13,0)</f>
        <v>0.20076258792395013</v>
      </c>
      <c r="D11" s="37">
        <f>IFERROR(HistoricalFS!D13,0)</f>
        <v>0.25521194180260759</v>
      </c>
      <c r="E11" s="37">
        <f>IFERROR(HistoricalFS!E13,0)</f>
        <v>0.27287797095381711</v>
      </c>
      <c r="F11" s="37">
        <f>IFERROR(HistoricalFS!F13,0)</f>
        <v>0.23496251382686711</v>
      </c>
      <c r="G11" s="37">
        <f>IFERROR(HistoricalFS!G13,0)</f>
        <v>0.28522975987959537</v>
      </c>
      <c r="H11" s="37">
        <f>IFERROR(HistoricalFS!H13,0)</f>
        <v>0.30533846572572815</v>
      </c>
      <c r="I11" s="37">
        <f>IFERROR(HistoricalFS!I13,0)</f>
        <v>0.30749511011442882</v>
      </c>
      <c r="J11" s="37">
        <f>IFERROR(HistoricalFS!J13,0)</f>
        <v>0.32296706088942895</v>
      </c>
      <c r="K11" s="37">
        <f>IFERROR(HistoricalFS!K13,0)</f>
        <v>0.37359401737117548</v>
      </c>
      <c r="L11" s="36"/>
      <c r="M11" s="38">
        <f>IFERROR(AVERAGE(C11:K11),0)</f>
        <v>0.28427104760973321</v>
      </c>
      <c r="N11" s="38">
        <f t="shared" si="1"/>
        <v>0.29528411280266176</v>
      </c>
    </row>
    <row r="12" spans="2:14" x14ac:dyDescent="0.35">
      <c r="B12" t="s">
        <v>125</v>
      </c>
      <c r="C12" s="15">
        <f>IFERROR(HistoricalFS!C19,0)</f>
        <v>-4.6329827982450007E-2</v>
      </c>
      <c r="D12" s="15">
        <f>IFERROR(HistoricalFS!D19,0)</f>
        <v>1.8769288908484033E-2</v>
      </c>
      <c r="E12" s="15">
        <f>IFERROR(HistoricalFS!E19,0)</f>
        <v>4.6958184585268938E-2</v>
      </c>
      <c r="F12" s="15">
        <f>IFERROR(HistoricalFS!F19,0)</f>
        <v>6.4828546847474272E-2</v>
      </c>
      <c r="G12" s="15">
        <f>IFERROR(HistoricalFS!G19,0)</f>
        <v>4.3469159552086169E-2</v>
      </c>
      <c r="H12" s="15">
        <f>IFERROR(HistoricalFS!H19,0)</f>
        <v>4.9974726855632097E-2</v>
      </c>
      <c r="I12" s="15">
        <f>IFERROR(HistoricalFS!I19,0)</f>
        <v>5.4321969797811662E-2</v>
      </c>
      <c r="J12" s="15">
        <f>IFERROR(HistoricalFS!J19,0)</f>
        <v>5.9722106915628251E-2</v>
      </c>
      <c r="K12" s="15">
        <f>IFERROR(HistoricalFS!K19,0)</f>
        <v>7.5063233672741508E-2</v>
      </c>
      <c r="M12" s="39">
        <f t="shared" ref="M12:M40" si="2">IFERROR(AVERAGE(C12:K12),0)</f>
        <v>4.0753043239186319E-2</v>
      </c>
      <c r="N12" s="39">
        <f t="shared" si="1"/>
        <v>5.2148348326721883E-2</v>
      </c>
    </row>
    <row r="13" spans="2:14" x14ac:dyDescent="0.35">
      <c r="B13" t="s">
        <v>126</v>
      </c>
      <c r="C13" s="15">
        <f>IFERROR((HistoricalFS!C18-HistoricalFS!C24)/HistoricalFS!C6,0)</f>
        <v>-5.9213733546904353E-2</v>
      </c>
      <c r="D13" s="15">
        <f>IFERROR((HistoricalFS!D18-HistoricalFS!D24)/HistoricalFS!D6,0)</f>
        <v>-9.0157370500003851E-3</v>
      </c>
      <c r="E13" s="15">
        <f>IFERROR((HistoricalFS!E18-HistoricalFS!E24)/HistoricalFS!E6,0)</f>
        <v>1.3289731998891335E-2</v>
      </c>
      <c r="F13" s="15">
        <f>IFERROR((HistoricalFS!F18-HistoricalFS!F24)/HistoricalFS!F6,0)</f>
        <v>3.549920111434305E-2</v>
      </c>
      <c r="G13" s="15">
        <f>IFERROR((HistoricalFS!G18-HistoricalFS!G24)/HistoricalFS!G6,0)</f>
        <v>1.7922913453844013E-2</v>
      </c>
      <c r="H13" s="15">
        <f>IFERROR((HistoricalFS!H18-HistoricalFS!H24)/HistoricalFS!H6,0)</f>
        <v>1.6291457677203702E-2</v>
      </c>
      <c r="I13" s="15">
        <f>IFERROR((HistoricalFS!I18-HistoricalFS!I24)/HistoricalFS!I6,0)</f>
        <v>1.920718864074494E-2</v>
      </c>
      <c r="J13" s="15">
        <f>IFERROR((HistoricalFS!J18-HistoricalFS!J24)/HistoricalFS!J6,0)</f>
        <v>2.6211914232020319E-2</v>
      </c>
      <c r="K13" s="15">
        <f>IFERROR((HistoricalFS!K18-HistoricalFS!K24)/HistoricalFS!K6,0)</f>
        <v>4.3101667772528482E-2</v>
      </c>
      <c r="M13" s="39">
        <f t="shared" si="2"/>
        <v>1.1477178254741234E-2</v>
      </c>
      <c r="N13" s="39">
        <f t="shared" si="1"/>
        <v>1.8565051047294476E-2</v>
      </c>
    </row>
    <row r="14" spans="2:14" x14ac:dyDescent="0.35">
      <c r="B14" t="s">
        <v>127</v>
      </c>
      <c r="C14" s="15">
        <f>IFERROR(HistoricalFS!C28,0)</f>
        <v>-7.1679782714673707E-2</v>
      </c>
      <c r="D14" s="15">
        <f>IFERROR(HistoricalFS!D28,0)</f>
        <v>-3.303070929196765E-2</v>
      </c>
      <c r="E14" s="15">
        <f>IFERROR(HistoricalFS!E28,0)</f>
        <v>-1.2871068666443908E-2</v>
      </c>
      <c r="F14" s="15">
        <f>IFERROR(HistoricalFS!F28,0)</f>
        <v>2.227047400548976E-2</v>
      </c>
      <c r="G14" s="15">
        <f>IFERROR(HistoricalFS!G28,0)</f>
        <v>5.3895928393138436E-3</v>
      </c>
      <c r="H14" s="15">
        <f>IFERROR(HistoricalFS!H28,0)</f>
        <v>1.5902640071543226E-3</v>
      </c>
      <c r="I14" s="15">
        <f>IFERROR(HistoricalFS!I28,0)</f>
        <v>6.1215573091457139E-3</v>
      </c>
      <c r="J14" s="15">
        <f>IFERROR(HistoricalFS!J28,0)</f>
        <v>1.2602801069709726E-2</v>
      </c>
      <c r="K14" s="15">
        <f>IFERROR(HistoricalFS!K28,0)</f>
        <v>3.1415785718918302E-2</v>
      </c>
      <c r="M14" s="39">
        <f t="shared" si="2"/>
        <v>-4.2434539692615125E-3</v>
      </c>
      <c r="N14" s="39">
        <f t="shared" si="1"/>
        <v>5.7555750742297792E-3</v>
      </c>
    </row>
    <row r="15" spans="2:14" x14ac:dyDescent="0.35">
      <c r="B15" s="40" t="s">
        <v>128</v>
      </c>
      <c r="C15" s="41">
        <f>IFERROR(HistoricalFS!C34,0)</f>
        <v>-5.5540079392715345E-2</v>
      </c>
      <c r="D15" s="41">
        <f>IFERROR(HistoricalFS!D34,0)</f>
        <v>-2.6570330846957348E-2</v>
      </c>
      <c r="E15" s="41">
        <f>IFERROR(HistoricalFS!E34,0)</f>
        <v>-1.508319519329211E-2</v>
      </c>
      <c r="F15" s="41">
        <f>IFERROR(HistoricalFS!F34,0)</f>
        <v>2.0435085419312528E-2</v>
      </c>
      <c r="G15" s="41">
        <f>IFERROR(HistoricalFS!G34,0)</f>
        <v>3.7944429429190947E-3</v>
      </c>
      <c r="H15" s="41">
        <f>IFERROR(HistoricalFS!H34,0)</f>
        <v>-1.0478634472568132E-3</v>
      </c>
      <c r="I15" s="41">
        <f>IFERROR(HistoricalFS!I34,0)</f>
        <v>2.156404301533309E-3</v>
      </c>
      <c r="J15" s="41">
        <f>IFERROR(HistoricalFS!J34,0)</f>
        <v>5.8416416975478405E-3</v>
      </c>
      <c r="K15" s="41">
        <f>IFERROR(HistoricalFS!K34,0)</f>
        <v>1.8814948589901653E-2</v>
      </c>
      <c r="L15" s="40"/>
      <c r="M15" s="42">
        <f t="shared" si="2"/>
        <v>-5.2443273254452411E-3</v>
      </c>
      <c r="N15" s="42">
        <f t="shared" si="1"/>
        <v>2.9754236222262016E-3</v>
      </c>
    </row>
    <row r="16" spans="2:14" x14ac:dyDescent="0.35">
      <c r="M16" s="35"/>
      <c r="N16" s="35"/>
    </row>
    <row r="17" spans="2:14" x14ac:dyDescent="0.35">
      <c r="B17" s="36" t="s">
        <v>129</v>
      </c>
      <c r="C17" s="37">
        <f>IFERROR(HistoricalFS!C16,0)</f>
        <v>0.24709241590640013</v>
      </c>
      <c r="D17" s="37">
        <f>IFERROR(HistoricalFS!D16,0)</f>
        <v>0.23644265289412358</v>
      </c>
      <c r="E17" s="37">
        <f>IFERROR(HistoricalFS!E16,0)</f>
        <v>0.2259197863685482</v>
      </c>
      <c r="F17" s="37">
        <f>IFERROR(HistoricalFS!F16,0)</f>
        <v>0.17013396697939284</v>
      </c>
      <c r="G17" s="37">
        <f>IFERROR(HistoricalFS!G16,0)</f>
        <v>0.24176060032750918</v>
      </c>
      <c r="H17" s="37">
        <f>IFERROR(HistoricalFS!H16,0)</f>
        <v>0.255363738870096</v>
      </c>
      <c r="I17" s="37">
        <f>IFERROR(HistoricalFS!I16,0)</f>
        <v>0.25317314031661714</v>
      </c>
      <c r="J17" s="37">
        <f>IFERROR(HistoricalFS!J16,0)</f>
        <v>0.26324495397380065</v>
      </c>
      <c r="K17" s="37">
        <f>IFERROR(HistoricalFS!K16,0)</f>
        <v>0.298530783698434</v>
      </c>
      <c r="L17" s="36"/>
      <c r="M17" s="38">
        <f t="shared" si="2"/>
        <v>0.24351800437054683</v>
      </c>
      <c r="N17" s="38">
        <f t="shared" si="1"/>
        <v>0.24746687032206316</v>
      </c>
    </row>
    <row r="18" spans="2:14" x14ac:dyDescent="0.35">
      <c r="B18" t="s">
        <v>67</v>
      </c>
      <c r="C18" s="15">
        <f>IFERROR(HistoricalFS!C25,0)</f>
        <v>1.2883905564454349E-2</v>
      </c>
      <c r="D18" s="15">
        <f>IFERROR(HistoricalFS!D25,0)</f>
        <v>2.7785025958484418E-2</v>
      </c>
      <c r="E18" s="15">
        <f>IFERROR(HistoricalFS!E25,0)</f>
        <v>3.3668452586377601E-2</v>
      </c>
      <c r="F18" s="15">
        <f>IFERROR(HistoricalFS!F25,0)</f>
        <v>2.9329345733131222E-2</v>
      </c>
      <c r="G18" s="15">
        <f>IFERROR(HistoricalFS!G25,0)</f>
        <v>2.5546246098242156E-2</v>
      </c>
      <c r="H18" s="15">
        <f>IFERROR(HistoricalFS!H25,0)</f>
        <v>3.3683269178428399E-2</v>
      </c>
      <c r="I18" s="15">
        <f>IFERROR(HistoricalFS!I25,0)</f>
        <v>3.5114781157066725E-2</v>
      </c>
      <c r="J18" s="15">
        <f>IFERROR(HistoricalFS!J25,0)</f>
        <v>3.3510192683607928E-2</v>
      </c>
      <c r="K18" s="15">
        <f>IFERROR(HistoricalFS!K25,0)</f>
        <v>3.196156590021302E-2</v>
      </c>
      <c r="M18" s="39">
        <f t="shared" si="2"/>
        <v>2.9275864984445097E-2</v>
      </c>
      <c r="N18" s="39">
        <f t="shared" si="1"/>
        <v>3.2735879291910477E-2</v>
      </c>
    </row>
    <row r="19" spans="2:14" x14ac:dyDescent="0.35">
      <c r="B19" s="40" t="s">
        <v>130</v>
      </c>
      <c r="C19" s="41">
        <f>IFERROR(C13,0)</f>
        <v>-5.9213733546904353E-2</v>
      </c>
      <c r="D19" s="41">
        <f t="shared" ref="D19:K19" si="3">IFERROR(D13,0)</f>
        <v>-9.0157370500003851E-3</v>
      </c>
      <c r="E19" s="41">
        <f t="shared" si="3"/>
        <v>1.3289731998891335E-2</v>
      </c>
      <c r="F19" s="41">
        <f t="shared" si="3"/>
        <v>3.549920111434305E-2</v>
      </c>
      <c r="G19" s="41">
        <f t="shared" si="3"/>
        <v>1.7922913453844013E-2</v>
      </c>
      <c r="H19" s="41">
        <f t="shared" si="3"/>
        <v>1.6291457677203702E-2</v>
      </c>
      <c r="I19" s="41">
        <f t="shared" si="3"/>
        <v>1.920718864074494E-2</v>
      </c>
      <c r="J19" s="41">
        <f t="shared" si="3"/>
        <v>2.6211914232020319E-2</v>
      </c>
      <c r="K19" s="41">
        <f t="shared" si="3"/>
        <v>4.3101667772528482E-2</v>
      </c>
      <c r="L19" s="40"/>
      <c r="M19" s="42">
        <f t="shared" si="2"/>
        <v>1.1477178254741234E-2</v>
      </c>
      <c r="N19" s="42">
        <f t="shared" si="1"/>
        <v>1.8565051047294476E-2</v>
      </c>
    </row>
    <row r="20" spans="2:14" x14ac:dyDescent="0.35">
      <c r="M20" s="35"/>
      <c r="N20" s="35"/>
    </row>
    <row r="21" spans="2:14" x14ac:dyDescent="0.35">
      <c r="B21" s="36" t="s">
        <v>131</v>
      </c>
      <c r="C21" s="37">
        <f>IFERROR((HistoricalFS!C18-HistoricalFS!C24)/SUM(HistoricalFS!C47:C49),0)</f>
        <v>-0.16619429241594988</v>
      </c>
      <c r="D21" s="37">
        <f>IFERROR((HistoricalFS!D18-HistoricalFS!D24)/SUM(HistoricalFS!D47:D49),0)</f>
        <v>-1.8520229931796625E-2</v>
      </c>
      <c r="E21" s="37">
        <f>IFERROR((HistoricalFS!E18-HistoricalFS!E24)/SUM(HistoricalFS!E47:E49),0)</f>
        <v>3.197136324041866E-2</v>
      </c>
      <c r="F21" s="37">
        <f>IFERROR((HistoricalFS!F18-HistoricalFS!F24)/SUM(HistoricalFS!F47:F49),0)</f>
        <v>0.10534057891729574</v>
      </c>
      <c r="G21" s="37">
        <f>IFERROR((HistoricalFS!G18-HistoricalFS!G24)/SUM(HistoricalFS!G47:G49),0)</f>
        <v>3.5000931426324218E-2</v>
      </c>
      <c r="H21" s="37">
        <f>IFERROR((HistoricalFS!H18-HistoricalFS!H24)/SUM(HistoricalFS!H47:H49),0)</f>
        <v>3.8501828607134511E-2</v>
      </c>
      <c r="I21" s="37">
        <f>IFERROR((HistoricalFS!I18-HistoricalFS!I24)/SUM(HistoricalFS!I47:I49),0)</f>
        <v>5.4957611169860067E-2</v>
      </c>
      <c r="J21" s="37">
        <f>IFERROR((HistoricalFS!J18-HistoricalFS!J24)/SUM(HistoricalFS!J47:J49),0)</f>
        <v>7.9477624748747949E-2</v>
      </c>
      <c r="K21" s="37">
        <f>IFERROR((HistoricalFS!K18-HistoricalFS!K24)/SUM(HistoricalFS!K47:K49),0)</f>
        <v>0.16144017280877829</v>
      </c>
      <c r="L21" s="36"/>
      <c r="M21" s="37">
        <f>IFERROR(AVERAGE(C21:K21),0)</f>
        <v>3.5775065396756997E-2</v>
      </c>
      <c r="N21" s="37">
        <f>IFERROR(MEDIAN(C21:K21),0)</f>
        <v>3.8501828607134511E-2</v>
      </c>
    </row>
    <row r="22" spans="2:14" x14ac:dyDescent="0.35">
      <c r="B22" t="s">
        <v>132</v>
      </c>
      <c r="C22" s="15">
        <f>IFERROR(HistoricalFS!C44,0)</f>
        <v>0</v>
      </c>
      <c r="D22" s="15">
        <f>IFERROR(HistoricalFS!D44,0)</f>
        <v>0</v>
      </c>
      <c r="E22" s="15">
        <f>IFERROR(HistoricalFS!E44,0)</f>
        <v>0</v>
      </c>
      <c r="F22" s="15">
        <f>IFERROR(HistoricalFS!F44,0)</f>
        <v>1</v>
      </c>
      <c r="G22" s="15">
        <f>IFERROR(HistoricalFS!G44,0)</f>
        <v>1</v>
      </c>
      <c r="H22" s="15">
        <f>IFERROR(HistoricalFS!H44,0)</f>
        <v>0</v>
      </c>
      <c r="I22" s="15">
        <f>IFERROR(HistoricalFS!I44,0)</f>
        <v>1</v>
      </c>
      <c r="J22" s="15">
        <f>IFERROR(HistoricalFS!J44,0)</f>
        <v>1</v>
      </c>
      <c r="K22" s="15">
        <f>IFERROR(HistoricalFS!K44,0)</f>
        <v>1</v>
      </c>
      <c r="M22" s="15">
        <f t="shared" ref="M22:M24" si="4">IFERROR(AVERAGE(C22:K22),0)</f>
        <v>0.55555555555555558</v>
      </c>
      <c r="N22" s="15">
        <f t="shared" ref="N22:N24" si="5">IFERROR(MEDIAN(C22:K22),0)</f>
        <v>1</v>
      </c>
    </row>
    <row r="23" spans="2:14" x14ac:dyDescent="0.35">
      <c r="B23" t="s">
        <v>133</v>
      </c>
      <c r="C23" s="15">
        <f>IFERROR(HistoricalFS!C33/SUM(HistoricalFS!C47:C48),0)</f>
        <v>-0.26235710173533999</v>
      </c>
      <c r="D23" s="15">
        <f>IFERROR(HistoricalFS!D33/SUM(HistoricalFS!D47:D48),0)</f>
        <v>-0.1280794587092294</v>
      </c>
      <c r="E23" s="15">
        <f>IFERROR(HistoricalFS!E33/SUM(HistoricalFS!E47:E48),0)</f>
        <v>-8.2807889423822348E-2</v>
      </c>
      <c r="F23" s="15">
        <f>IFERROR(HistoricalFS!F33/SUM(HistoricalFS!F47:F48),0)</f>
        <v>0.10188532794084595</v>
      </c>
      <c r="G23" s="15">
        <f>IFERROR(HistoricalFS!G33/SUM(HistoricalFS!G47:G48),0)</f>
        <v>1.0687364728711164E-2</v>
      </c>
      <c r="H23" s="15">
        <f>IFERROR(HistoricalFS!H33/SUM(HistoricalFS!H47:H48),0)</f>
        <v>-3.9114091232344923E-3</v>
      </c>
      <c r="I23" s="15">
        <f>IFERROR(HistoricalFS!I33/SUM(HistoricalFS!I47:I48),0)</f>
        <v>1.0909263763339601E-2</v>
      </c>
      <c r="J23" s="15">
        <f>IFERROR(HistoricalFS!J33/SUM(HistoricalFS!J47:J48),0)</f>
        <v>3.5687938030246967E-2</v>
      </c>
      <c r="K23" s="15">
        <f>IFERROR(HistoricalFS!K33/SUM(HistoricalFS!K47:K48),0)</f>
        <v>0.13113534263341692</v>
      </c>
      <c r="M23" s="15">
        <f t="shared" si="4"/>
        <v>-2.0761180210562852E-2</v>
      </c>
      <c r="N23" s="15">
        <f t="shared" si="5"/>
        <v>1.0687364728711164E-2</v>
      </c>
    </row>
    <row r="24" spans="2:14" x14ac:dyDescent="0.35">
      <c r="B24" t="s">
        <v>134</v>
      </c>
      <c r="C24" s="15">
        <f>IFERROR(C22*C23,0)</f>
        <v>0</v>
      </c>
      <c r="D24" s="15">
        <f t="shared" ref="D24:K24" si="6">IFERROR(D22*D23,0)</f>
        <v>0</v>
      </c>
      <c r="E24" s="15">
        <f t="shared" si="6"/>
        <v>0</v>
      </c>
      <c r="F24" s="15">
        <f t="shared" si="6"/>
        <v>0.10188532794084595</v>
      </c>
      <c r="G24" s="15">
        <f t="shared" si="6"/>
        <v>1.0687364728711164E-2</v>
      </c>
      <c r="H24" s="15">
        <f t="shared" si="6"/>
        <v>0</v>
      </c>
      <c r="I24" s="15">
        <f t="shared" si="6"/>
        <v>1.0909263763339601E-2</v>
      </c>
      <c r="J24" s="15">
        <f t="shared" si="6"/>
        <v>3.5687938030246967E-2</v>
      </c>
      <c r="K24" s="15">
        <f t="shared" si="6"/>
        <v>0.13113534263341692</v>
      </c>
      <c r="M24" s="15">
        <f t="shared" si="4"/>
        <v>3.2256137455173403E-2</v>
      </c>
      <c r="N24" s="15">
        <f t="shared" si="5"/>
        <v>1.0687364728711164E-2</v>
      </c>
    </row>
    <row r="25" spans="2:14" x14ac:dyDescent="0.35">
      <c r="B25" s="40" t="s">
        <v>136</v>
      </c>
      <c r="C25" s="48">
        <f>IFERROR((HistoricalFS!C18-HistoricalFS!C24)/HistoricalFS!C21,0)</f>
        <v>-4.7499999999999973</v>
      </c>
      <c r="D25" s="48">
        <f>IFERROR((HistoricalFS!D18-HistoricalFS!D24)/HistoricalFS!D21,0)</f>
        <v>-0.37542150618208797</v>
      </c>
      <c r="E25" s="48">
        <f>IFERROR((HistoricalFS!E18-HistoricalFS!E24)/HistoricalFS!E21,0)</f>
        <v>0.50800173010381489</v>
      </c>
      <c r="F25" s="48">
        <f>IFERROR((HistoricalFS!F18-HistoricalFS!F24)/HistoricalFS!F21,0)</f>
        <v>2.6834933415918227</v>
      </c>
      <c r="G25" s="48">
        <f>IFERROR((HistoricalFS!G18-HistoricalFS!G24)/HistoricalFS!G21,0)</f>
        <v>1.4300211416490503</v>
      </c>
      <c r="H25" s="48">
        <f>IFERROR((HistoricalFS!H18-HistoricalFS!H24)/HistoricalFS!H21,0)</f>
        <v>1.1081724411531395</v>
      </c>
      <c r="I25" s="48">
        <f>IFERROR((HistoricalFS!I18-HistoricalFS!I24)/HistoricalFS!I21,0)</f>
        <v>1.4678075634274788</v>
      </c>
      <c r="J25" s="48">
        <f>IFERROR((HistoricalFS!J18-HistoricalFS!J24)/HistoricalFS!J21,0)</f>
        <v>1.9260560125704758</v>
      </c>
      <c r="K25" s="48">
        <f>IFERROR((HistoricalFS!K18-HistoricalFS!K24)/HistoricalFS!K21,0)</f>
        <v>3.6883538251366192</v>
      </c>
      <c r="L25" s="40"/>
      <c r="M25" s="48">
        <f t="shared" si="2"/>
        <v>0.85405383882781294</v>
      </c>
      <c r="N25" s="48">
        <f t="shared" si="1"/>
        <v>1.4489143525382646</v>
      </c>
    </row>
    <row r="26" spans="2:14" x14ac:dyDescent="0.35">
      <c r="M26" s="35"/>
      <c r="N26" s="35"/>
    </row>
    <row r="27" spans="2:14" x14ac:dyDescent="0.35">
      <c r="B27" s="36" t="s">
        <v>140</v>
      </c>
      <c r="C27" s="46">
        <f>IFERROR(HistoricalFS!C6/HistoricalFS!C59,0)</f>
        <v>8.1771070615034169</v>
      </c>
      <c r="D27" s="46">
        <f>IFERROR(HistoricalFS!D6/HistoricalFS!D59,0)</f>
        <v>19.18836325966851</v>
      </c>
      <c r="E27" s="46">
        <f>IFERROR(HistoricalFS!E6/HistoricalFS!E59,0)</f>
        <v>17.957228487249822</v>
      </c>
      <c r="F27" s="46">
        <f>IFERROR(HistoricalFS!F6/HistoricalFS!F59,0)</f>
        <v>31.848903966597078</v>
      </c>
      <c r="G27" s="46">
        <f>IFERROR(HistoricalFS!G6/HistoricalFS!G59,0)</f>
        <v>39.923198984449378</v>
      </c>
      <c r="H27" s="46">
        <f>IFERROR(HistoricalFS!H6/HistoricalFS!H59,0)</f>
        <v>31.454778939644104</v>
      </c>
      <c r="I27" s="46">
        <f>IFERROR(HistoricalFS!I6/HistoricalFS!I59,0)</f>
        <v>26.430587748344372</v>
      </c>
      <c r="J27" s="46">
        <f>IFERROR(HistoricalFS!J6/HistoricalFS!J59,0)</f>
        <v>32.2364056607599</v>
      </c>
      <c r="K27" s="46">
        <f>IFERROR(HistoricalFS!K6/HistoricalFS!K59,0)</f>
        <v>34.633872416891286</v>
      </c>
      <c r="L27" s="36"/>
      <c r="M27" s="46">
        <f t="shared" si="2"/>
        <v>26.872271836123097</v>
      </c>
      <c r="N27" s="46">
        <f t="shared" si="1"/>
        <v>31.651841453120589</v>
      </c>
    </row>
    <row r="28" spans="2:14" x14ac:dyDescent="0.35">
      <c r="B28" t="s">
        <v>137</v>
      </c>
      <c r="C28" s="47">
        <f>IFERROR(HistoricalFS!C6/HistoricalFS!C50,0)</f>
        <v>3.8677441077441079</v>
      </c>
      <c r="D28" s="47">
        <f>IFERROR(HistoricalFS!D6/HistoricalFS!D50,0)</f>
        <v>4.7369789446764985</v>
      </c>
      <c r="E28" s="47">
        <f>IFERROR(HistoricalFS!E6/HistoricalFS!E50,0)</f>
        <v>4.5349189244663384</v>
      </c>
      <c r="F28" s="47">
        <f>IFERROR(HistoricalFS!F6/HistoricalFS!F50,0)</f>
        <v>5.091891440849448</v>
      </c>
      <c r="G28" s="47">
        <f>IFERROR(HistoricalFS!G6/HistoricalFS!G50,0)</f>
        <v>5.2891860073999331</v>
      </c>
      <c r="H28" s="47">
        <f>IFERROR(HistoricalFS!H6/HistoricalFS!H50,0)</f>
        <v>6.6504622147520847</v>
      </c>
      <c r="I28" s="47">
        <f>IFERROR(HistoricalFS!I6/HistoricalFS!I50,0)</f>
        <v>5.4628927804535845</v>
      </c>
      <c r="J28" s="47">
        <f>IFERROR(HistoricalFS!J6/HistoricalFS!J50,0)</f>
        <v>5.8555308398273498</v>
      </c>
      <c r="K28" s="47">
        <f>IFERROR(HistoricalFS!K6/HistoricalFS!K50,0)</f>
        <v>5.177930243491649</v>
      </c>
      <c r="M28" s="47">
        <f t="shared" si="2"/>
        <v>5.185281722629</v>
      </c>
      <c r="N28" s="47">
        <f t="shared" si="1"/>
        <v>5.233558125445791</v>
      </c>
    </row>
    <row r="29" spans="2:14" x14ac:dyDescent="0.35">
      <c r="B29" t="s">
        <v>138</v>
      </c>
      <c r="C29" s="47">
        <f>IFERROR(HistoricalFS!C6/HistoricalFS!C60,0)</f>
        <v>4.8790349983010532</v>
      </c>
      <c r="D29" s="47">
        <f>IFERROR(HistoricalFS!D6/HistoricalFS!D60,0)</f>
        <v>4.5437040065412928</v>
      </c>
      <c r="E29" s="47">
        <f>IFERROR(HistoricalFS!E6/HistoricalFS!E60,0)</f>
        <v>3.96894507567252</v>
      </c>
      <c r="F29" s="47">
        <f>IFERROR(HistoricalFS!F6/HistoricalFS!F60,0)</f>
        <v>4.9005199863478488</v>
      </c>
      <c r="G29" s="47">
        <f>IFERROR(HistoricalFS!G6/HistoricalFS!G60,0)</f>
        <v>4.3100203284529819</v>
      </c>
      <c r="H29" s="47">
        <f>IFERROR(HistoricalFS!H6/HistoricalFS!H60,0)</f>
        <v>5.1174960701991763</v>
      </c>
      <c r="I29" s="47">
        <f>IFERROR(HistoricalFS!I6/HistoricalFS!I60,0)</f>
        <v>5.3568474476741752</v>
      </c>
      <c r="J29" s="47">
        <f>IFERROR(HistoricalFS!J6/HistoricalFS!J60,0)</f>
        <v>5.6081803688079352</v>
      </c>
      <c r="K29" s="47">
        <f>IFERROR(HistoricalFS!K6/HistoricalFS!K60,0)</f>
        <v>6.103150728309056</v>
      </c>
      <c r="M29" s="47">
        <f t="shared" si="2"/>
        <v>4.9764332233673381</v>
      </c>
      <c r="N29" s="47">
        <f t="shared" si="1"/>
        <v>5.009008028273513</v>
      </c>
    </row>
    <row r="30" spans="2:14" x14ac:dyDescent="0.35">
      <c r="B30" t="s">
        <v>139</v>
      </c>
      <c r="C30" s="47">
        <f>IFERROR(HistoricalFS!C6/HistoricalFS!C53,0)</f>
        <v>16.833528722157094</v>
      </c>
      <c r="D30" s="47">
        <f>IFERROR(HistoricalFS!D6/HistoricalFS!D53,0)</f>
        <v>7.962387161484453</v>
      </c>
      <c r="E30" s="47">
        <f>IFERROR(HistoricalFS!E6/HistoricalFS!E53,0)</f>
        <v>7.785446857243536</v>
      </c>
      <c r="F30" s="47">
        <f>IFERROR(HistoricalFS!F6/HistoricalFS!F53,0)</f>
        <v>10.560723402414226</v>
      </c>
      <c r="G30" s="47">
        <f>IFERROR(HistoricalFS!G6/HistoricalFS!G53,0)</f>
        <v>7.8094981893429907</v>
      </c>
      <c r="H30" s="47">
        <f>IFERROR(HistoricalFS!H6/HistoricalFS!H53,0)</f>
        <v>7.3606937408774789</v>
      </c>
      <c r="I30" s="47">
        <f>IFERROR(HistoricalFS!I6/HistoricalFS!I53,0)</f>
        <v>9.5570372365900393</v>
      </c>
      <c r="J30" s="47">
        <f>IFERROR(HistoricalFS!J6/HistoricalFS!J53,0)</f>
        <v>9.5227953331257034</v>
      </c>
      <c r="K30" s="47">
        <f>IFERROR(HistoricalFS!K6/HistoricalFS!K53,0)</f>
        <v>9.9433007589662186</v>
      </c>
      <c r="M30" s="47">
        <f t="shared" si="2"/>
        <v>9.7039346002446365</v>
      </c>
      <c r="N30" s="47">
        <f t="shared" si="1"/>
        <v>8.7425912473050786</v>
      </c>
    </row>
    <row r="31" spans="2:14" x14ac:dyDescent="0.35">
      <c r="B31" s="40" t="s">
        <v>141</v>
      </c>
      <c r="C31" s="48">
        <f>IFERROR(HistoricalFS!C6/SUM(HistoricalFS!C47:C48),0)</f>
        <v>4.7237437289250757</v>
      </c>
      <c r="D31" s="48">
        <f>IFERROR(HistoricalFS!D6/SUM(HistoricalFS!D47:D48),0)</f>
        <v>4.8203938237335189</v>
      </c>
      <c r="E31" s="48">
        <f>IFERROR(HistoricalFS!E6/SUM(HistoricalFS!E47:E48),0)</f>
        <v>5.4900760987731019</v>
      </c>
      <c r="F31" s="48">
        <f>IFERROR(HistoricalFS!F6/SUM(HistoricalFS!F47:F48),0)</f>
        <v>4.9858038687011055</v>
      </c>
      <c r="G31" s="48">
        <f>IFERROR(HistoricalFS!G6/SUM(HistoricalFS!G47:G48),0)</f>
        <v>2.8165833271139635</v>
      </c>
      <c r="H31" s="48">
        <f>IFERROR(HistoricalFS!H6/SUM(HistoricalFS!H47:H48),0)</f>
        <v>3.7327469848042845</v>
      </c>
      <c r="I31" s="48">
        <f>IFERROR(HistoricalFS!I6/SUM(HistoricalFS!I47:I48),0)</f>
        <v>5.0590066786560293</v>
      </c>
      <c r="J31" s="48">
        <f>IFERROR(HistoricalFS!J6/SUM(HistoricalFS!J47:J48),0)</f>
        <v>6.1092309111029142</v>
      </c>
      <c r="K31" s="48">
        <f>IFERROR(HistoricalFS!K6/SUM(HistoricalFS!K47:K48),0)</f>
        <v>6.9697422773612985</v>
      </c>
      <c r="L31" s="40"/>
      <c r="M31" s="48">
        <f t="shared" si="2"/>
        <v>4.9674808554634762</v>
      </c>
      <c r="N31" s="48">
        <f t="shared" si="1"/>
        <v>5.0224052736785669</v>
      </c>
    </row>
    <row r="32" spans="2:14" x14ac:dyDescent="0.35">
      <c r="M32" s="35"/>
      <c r="N32" s="35"/>
    </row>
    <row r="33" spans="2:14" x14ac:dyDescent="0.35">
      <c r="B33" s="36" t="s">
        <v>142</v>
      </c>
      <c r="C33" s="43">
        <f>IFERROR(365/C27,0)</f>
        <v>44.636813148547951</v>
      </c>
      <c r="D33" s="43">
        <f t="shared" ref="D33:K33" si="7">IFERROR(365/D27,0)</f>
        <v>19.021945491681585</v>
      </c>
      <c r="E33" s="43">
        <f t="shared" si="7"/>
        <v>20.326076502237587</v>
      </c>
      <c r="F33" s="43">
        <f t="shared" si="7"/>
        <v>11.460362980867712</v>
      </c>
      <c r="G33" s="43">
        <f t="shared" si="7"/>
        <v>9.1425539356746537</v>
      </c>
      <c r="H33" s="43">
        <f t="shared" si="7"/>
        <v>11.603960107313659</v>
      </c>
      <c r="I33" s="43">
        <f t="shared" si="7"/>
        <v>13.809757220509173</v>
      </c>
      <c r="J33" s="43">
        <f t="shared" si="7"/>
        <v>11.322602272755862</v>
      </c>
      <c r="K33" s="43">
        <f t="shared" si="7"/>
        <v>10.538815746805888</v>
      </c>
      <c r="L33" s="36"/>
      <c r="M33" s="43">
        <f t="shared" si="2"/>
        <v>16.873654156266007</v>
      </c>
      <c r="N33" s="43">
        <f t="shared" si="1"/>
        <v>11.532161544090686</v>
      </c>
    </row>
    <row r="34" spans="2:14" x14ac:dyDescent="0.35">
      <c r="B34" t="s">
        <v>143</v>
      </c>
      <c r="C34" s="44">
        <f>IFERROR(365/C28,0)</f>
        <v>94.370255588829295</v>
      </c>
      <c r="D34" s="44">
        <f t="shared" ref="D34:K34" si="8">IFERROR(365/D28,0)</f>
        <v>77.053329614266815</v>
      </c>
      <c r="E34" s="44">
        <f t="shared" si="8"/>
        <v>80.486554683654589</v>
      </c>
      <c r="F34" s="44">
        <f t="shared" si="8"/>
        <v>71.682596583227507</v>
      </c>
      <c r="G34" s="44">
        <f t="shared" si="8"/>
        <v>69.008728278668968</v>
      </c>
      <c r="H34" s="44">
        <f t="shared" si="8"/>
        <v>54.883403320502353</v>
      </c>
      <c r="I34" s="44">
        <f t="shared" si="8"/>
        <v>66.814417684707706</v>
      </c>
      <c r="J34" s="44">
        <f t="shared" si="8"/>
        <v>62.334228951095753</v>
      </c>
      <c r="K34" s="44">
        <f t="shared" si="8"/>
        <v>70.491486527610789</v>
      </c>
      <c r="M34" s="44">
        <f t="shared" si="2"/>
        <v>71.902777914729313</v>
      </c>
      <c r="N34" s="44">
        <f t="shared" si="1"/>
        <v>69.750107403139879</v>
      </c>
    </row>
    <row r="35" spans="2:14" x14ac:dyDescent="0.35">
      <c r="B35" t="s">
        <v>144</v>
      </c>
      <c r="C35" s="44">
        <f>IFERROR(365/C29,0)</f>
        <v>74.809875339508324</v>
      </c>
      <c r="D35" s="44">
        <f t="shared" ref="D35:K35" si="9">IFERROR(365/D29,0)</f>
        <v>80.330936934829339</v>
      </c>
      <c r="E35" s="44">
        <f t="shared" si="9"/>
        <v>91.963983638184359</v>
      </c>
      <c r="F35" s="44">
        <f t="shared" si="9"/>
        <v>74.481891925109593</v>
      </c>
      <c r="G35" s="44">
        <f t="shared" si="9"/>
        <v>84.686375512064316</v>
      </c>
      <c r="H35" s="44">
        <f t="shared" si="9"/>
        <v>71.323943388156621</v>
      </c>
      <c r="I35" s="44">
        <f t="shared" si="9"/>
        <v>68.137090623791224</v>
      </c>
      <c r="J35" s="44">
        <f t="shared" si="9"/>
        <v>65.083498745883546</v>
      </c>
      <c r="K35" s="44">
        <f t="shared" si="9"/>
        <v>59.805175432907454</v>
      </c>
      <c r="M35" s="44">
        <f t="shared" si="2"/>
        <v>74.513641282270541</v>
      </c>
      <c r="N35" s="44">
        <f t="shared" si="1"/>
        <v>72.902917656633107</v>
      </c>
    </row>
    <row r="36" spans="2:14" x14ac:dyDescent="0.35">
      <c r="B36" s="40" t="s">
        <v>145</v>
      </c>
      <c r="C36" s="45">
        <f>(C33+C35)-C34</f>
        <v>25.076432899226987</v>
      </c>
      <c r="D36" s="45">
        <f t="shared" ref="D36:K36" si="10">(D33+D35)-D34</f>
        <v>22.299552812244102</v>
      </c>
      <c r="E36" s="45">
        <f t="shared" si="10"/>
        <v>31.803505456767354</v>
      </c>
      <c r="F36" s="45">
        <f t="shared" si="10"/>
        <v>14.2596583227498</v>
      </c>
      <c r="G36" s="45">
        <f t="shared" si="10"/>
        <v>24.820201169070003</v>
      </c>
      <c r="H36" s="45">
        <f t="shared" si="10"/>
        <v>28.044500174967922</v>
      </c>
      <c r="I36" s="45">
        <f t="shared" si="10"/>
        <v>15.132430159592687</v>
      </c>
      <c r="J36" s="45">
        <f t="shared" si="10"/>
        <v>14.071872067543651</v>
      </c>
      <c r="K36" s="45">
        <f t="shared" si="10"/>
        <v>-0.147495347897447</v>
      </c>
      <c r="L36" s="40"/>
      <c r="M36" s="45">
        <f t="shared" si="2"/>
        <v>19.484517523807231</v>
      </c>
      <c r="N36" s="45">
        <f t="shared" si="1"/>
        <v>18.715991485918394</v>
      </c>
    </row>
    <row r="37" spans="2:14" x14ac:dyDescent="0.35">
      <c r="M37" s="35"/>
      <c r="N37" s="35"/>
    </row>
    <row r="38" spans="2:14" x14ac:dyDescent="0.35">
      <c r="B38" s="36" t="s">
        <v>146</v>
      </c>
      <c r="C38" s="38">
        <f>IFERROR(HistoricalFS!C78/HistoricalFS!C6,0)</f>
        <v>-0.2280799498572324</v>
      </c>
      <c r="D38" s="38">
        <f>IFERROR(HistoricalFS!D78/HistoricalFS!D6,0)</f>
        <v>-0.20424873356787446</v>
      </c>
      <c r="E38" s="38">
        <f>IFERROR(HistoricalFS!E78/HistoricalFS!E6,0)</f>
        <v>-4.0734810724570449E-2</v>
      </c>
      <c r="F38" s="38">
        <f>IFERROR(HistoricalFS!F78/HistoricalFS!F6,0)</f>
        <v>3.8920070465811786E-2</v>
      </c>
      <c r="G38" s="38">
        <f>IFERROR(HistoricalFS!G78/HistoricalFS!G6,0)</f>
        <v>-0.21727955399396917</v>
      </c>
      <c r="H38" s="38">
        <f>IFERROR(HistoricalFS!H78/HistoricalFS!H6,0)</f>
        <v>-9.1372137330378314E-2</v>
      </c>
      <c r="I38" s="38">
        <f>IFERROR(HistoricalFS!I78/HistoricalFS!I6,0)</f>
        <v>-3.9150404893487409E-2</v>
      </c>
      <c r="J38" s="38">
        <f>IFERROR(HistoricalFS!J78/HistoricalFS!J6,0)</f>
        <v>6.1259248637076061E-2</v>
      </c>
      <c r="K38" s="38">
        <f>IFERROR(HistoricalFS!K78/HistoricalFS!K6,0)</f>
        <v>6.2859508997390831E-2</v>
      </c>
      <c r="L38" s="36"/>
      <c r="M38" s="38">
        <f t="shared" si="2"/>
        <v>-7.309186247413707E-2</v>
      </c>
      <c r="N38" s="38">
        <f t="shared" si="1"/>
        <v>-3.9942607809028932E-2</v>
      </c>
    </row>
    <row r="39" spans="2:14" x14ac:dyDescent="0.35">
      <c r="B39" t="s">
        <v>147</v>
      </c>
      <c r="C39" s="39">
        <f>IFERROR(HistoricalFS!C78/HistoricalFS!C64,0)</f>
        <v>-0.3709576938324744</v>
      </c>
      <c r="D39" s="39">
        <f>IFERROR(HistoricalFS!D78/HistoricalFS!D64,0)</f>
        <v>-0.29265777090182427</v>
      </c>
      <c r="E39" s="39">
        <f>IFERROR(HistoricalFS!E78/HistoricalFS!E64,0)</f>
        <v>-6.4029595902105857E-2</v>
      </c>
      <c r="F39" s="39">
        <f>IFERROR(HistoricalFS!F78/HistoricalFS!F64,0)</f>
        <v>7.2968032320997897E-2</v>
      </c>
      <c r="G39" s="39">
        <f>IFERROR(HistoricalFS!G78/HistoricalFS!G64,0)</f>
        <v>-0.30989705371045034</v>
      </c>
      <c r="H39" s="39">
        <f>IFERROR(HistoricalFS!H78/HistoricalFS!H64,0)</f>
        <v>-0.15932365413885563</v>
      </c>
      <c r="I39" s="39">
        <f>IFERROR(HistoricalFS!I78/HistoricalFS!I64,0)</f>
        <v>-7.3515789721316338E-2</v>
      </c>
      <c r="J39" s="39">
        <f>IFERROR(HistoricalFS!J78/HistoricalFS!J64,0)</f>
        <v>0.12237626051317618</v>
      </c>
      <c r="K39" s="39">
        <f>IFERROR(HistoricalFS!K78/HistoricalFS!K64,0)</f>
        <v>0.13661853935264498</v>
      </c>
      <c r="M39" s="39">
        <f t="shared" si="2"/>
        <v>-0.10426874733557864</v>
      </c>
      <c r="N39" s="39">
        <f t="shared" si="1"/>
        <v>-6.8772692811711097E-2</v>
      </c>
    </row>
    <row r="40" spans="2:14" x14ac:dyDescent="0.35">
      <c r="B40" s="40" t="s">
        <v>148</v>
      </c>
      <c r="C40" s="42">
        <f>IFERROR(HistoricalFS!C78/HistoricalFS!C49,0)</f>
        <v>-1.5773630343166767</v>
      </c>
      <c r="D40" s="42">
        <f>IFERROR(HistoricalFS!D78/HistoricalFS!D49,0)</f>
        <v>-0.73114954746030203</v>
      </c>
      <c r="E40" s="42">
        <f>IFERROR(HistoricalFS!E78/HistoricalFS!E49,0)</f>
        <v>-0.17443128134312089</v>
      </c>
      <c r="F40" s="42">
        <f>IFERROR(HistoricalFS!F78/HistoricalFS!F49,0)</f>
        <v>0.28528528528528529</v>
      </c>
      <c r="G40" s="42">
        <f>IFERROR(HistoricalFS!G78/HistoricalFS!G49,0)</f>
        <v>-1.3836860045222907</v>
      </c>
      <c r="H40" s="42">
        <f>IFERROR(HistoricalFS!H78/HistoricalFS!H49,0)</f>
        <v>-0.58860363180964304</v>
      </c>
      <c r="I40" s="42">
        <f>IFERROR(HistoricalFS!I78/HistoricalFS!I49,0)</f>
        <v>-0.25786753860277051</v>
      </c>
      <c r="J40" s="42">
        <f>IFERROR(HistoricalFS!J78/HistoricalFS!J49,0)</f>
        <v>0.36877456288477123</v>
      </c>
      <c r="K40" s="42">
        <f>IFERROR(HistoricalFS!K78/HistoricalFS!K49,0)</f>
        <v>0.50896341118588473</v>
      </c>
      <c r="L40" s="40"/>
      <c r="M40" s="42">
        <f t="shared" si="2"/>
        <v>-0.39445308652209587</v>
      </c>
      <c r="N40" s="42">
        <f t="shared" si="1"/>
        <v>-0.21614940997294568</v>
      </c>
    </row>
  </sheetData>
  <mergeCells count="1">
    <mergeCell ref="B2:N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B2F6908-BE75-4BE9-85B8-7889D4F6D9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Analysis'!C11:K11</xm:f>
              <xm:sqref>L11</xm:sqref>
            </x14:sparkline>
            <x14:sparkline>
              <xm:f>'Ratio Analysis'!C12:K12</xm:f>
              <xm:sqref>L12</xm:sqref>
            </x14:sparkline>
            <x14:sparkline>
              <xm:f>'Ratio Analysis'!C13:K13</xm:f>
              <xm:sqref>L13</xm:sqref>
            </x14:sparkline>
            <x14:sparkline>
              <xm:f>'Ratio Analysis'!C14:K14</xm:f>
              <xm:sqref>L14</xm:sqref>
            </x14:sparkline>
            <x14:sparkline>
              <xm:f>'Ratio Analysis'!C15:K15</xm:f>
              <xm:sqref>L15</xm:sqref>
            </x14:sparkline>
            <x14:sparkline>
              <xm:f>'Ratio Analysis'!C16:K16</xm:f>
              <xm:sqref>L16</xm:sqref>
            </x14:sparkline>
            <x14:sparkline>
              <xm:f>'Ratio Analysis'!C17:K17</xm:f>
              <xm:sqref>L17</xm:sqref>
            </x14:sparkline>
            <x14:sparkline>
              <xm:f>'Ratio Analysis'!C18:K18</xm:f>
              <xm:sqref>L18</xm:sqref>
            </x14:sparkline>
            <x14:sparkline>
              <xm:f>'Ratio Analysis'!C19:K19</xm:f>
              <xm:sqref>L19</xm:sqref>
            </x14:sparkline>
            <x14:sparkline>
              <xm:f>'Ratio Analysis'!C20:K20</xm:f>
              <xm:sqref>L20</xm:sqref>
            </x14:sparkline>
            <x14:sparkline>
              <xm:f>'Ratio Analysis'!C21:K21</xm:f>
              <xm:sqref>L21</xm:sqref>
            </x14:sparkline>
            <x14:sparkline>
              <xm:f>'Ratio Analysis'!C22:K22</xm:f>
              <xm:sqref>L22</xm:sqref>
            </x14:sparkline>
            <x14:sparkline>
              <xm:f>'Ratio Analysis'!C23:K23</xm:f>
              <xm:sqref>L23</xm:sqref>
            </x14:sparkline>
            <x14:sparkline>
              <xm:f>'Ratio Analysis'!C24:K24</xm:f>
              <xm:sqref>L24</xm:sqref>
            </x14:sparkline>
            <x14:sparkline>
              <xm:f>'Ratio Analysis'!C25:K25</xm:f>
              <xm:sqref>L25</xm:sqref>
            </x14:sparkline>
            <x14:sparkline>
              <xm:f>'Ratio Analysis'!C26:K26</xm:f>
              <xm:sqref>L26</xm:sqref>
            </x14:sparkline>
            <x14:sparkline>
              <xm:f>'Ratio Analysis'!C27:K27</xm:f>
              <xm:sqref>L27</xm:sqref>
            </x14:sparkline>
            <x14:sparkline>
              <xm:f>'Ratio Analysis'!C28:K28</xm:f>
              <xm:sqref>L28</xm:sqref>
            </x14:sparkline>
            <x14:sparkline>
              <xm:f>'Ratio Analysis'!C29:K29</xm:f>
              <xm:sqref>L29</xm:sqref>
            </x14:sparkline>
            <x14:sparkline>
              <xm:f>'Ratio Analysis'!C30:K30</xm:f>
              <xm:sqref>L30</xm:sqref>
            </x14:sparkline>
            <x14:sparkline>
              <xm:f>'Ratio Analysis'!C31:K31</xm:f>
              <xm:sqref>L31</xm:sqref>
            </x14:sparkline>
            <x14:sparkline>
              <xm:f>'Ratio Analysis'!C32:K32</xm:f>
              <xm:sqref>L32</xm:sqref>
            </x14:sparkline>
            <x14:sparkline>
              <xm:f>'Ratio Analysis'!C33:K33</xm:f>
              <xm:sqref>L33</xm:sqref>
            </x14:sparkline>
            <x14:sparkline>
              <xm:f>'Ratio Analysis'!C34:K34</xm:f>
              <xm:sqref>L34</xm:sqref>
            </x14:sparkline>
            <x14:sparkline>
              <xm:f>'Ratio Analysis'!C35:K35</xm:f>
              <xm:sqref>L35</xm:sqref>
            </x14:sparkline>
            <x14:sparkline>
              <xm:f>'Ratio Analysis'!C36:K36</xm:f>
              <xm:sqref>L36</xm:sqref>
            </x14:sparkline>
            <x14:sparkline>
              <xm:f>'Ratio Analysis'!C37:K37</xm:f>
              <xm:sqref>L37</xm:sqref>
            </x14:sparkline>
            <x14:sparkline>
              <xm:f>'Ratio Analysis'!C38:K38</xm:f>
              <xm:sqref>L38</xm:sqref>
            </x14:sparkline>
            <x14:sparkline>
              <xm:f>'Ratio Analysis'!C39:K39</xm:f>
              <xm:sqref>L39</xm:sqref>
            </x14:sparkline>
            <x14:sparkline>
              <xm:f>'Ratio Analysis'!C40:K40</xm:f>
              <xm:sqref>L40</xm:sqref>
            </x14:sparkline>
          </x14:sparklines>
        </x14:sparklineGroup>
        <x14:sparklineGroup displayEmptyCellsAs="gap" xr2:uid="{765682A8-4EC2-4CE8-8118-4B07AEDC49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Analysis'!D5:K5</xm:f>
              <xm:sqref>L5</xm:sqref>
            </x14:sparkline>
            <x14:sparkline>
              <xm:f>'Ratio Analysis'!D6:K6</xm:f>
              <xm:sqref>L6</xm:sqref>
            </x14:sparkline>
            <x14:sparkline>
              <xm:f>'Ratio Analysis'!D7:K7</xm:f>
              <xm:sqref>L7</xm:sqref>
            </x14:sparkline>
            <x14:sparkline>
              <xm:f>'Ratio Analysis'!D8:K8</xm:f>
              <xm:sqref>L8</xm:sqref>
            </x14:sparkline>
            <x14:sparkline>
              <xm:f>'Ratio Analysis'!D9:K9</xm:f>
              <xm:sqref>L9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9964-048B-4596-894B-B22BE3DC6898}">
  <dimension ref="A2:O20"/>
  <sheetViews>
    <sheetView showGridLines="0" workbookViewId="0">
      <selection activeCell="N18" sqref="N18"/>
    </sheetView>
  </sheetViews>
  <sheetFormatPr defaultRowHeight="14.5" x14ac:dyDescent="0.35"/>
  <cols>
    <col min="1" max="1" width="1.81640625" customWidth="1"/>
    <col min="2" max="2" width="10.90625" bestFit="1" customWidth="1"/>
    <col min="3" max="3" width="10.08984375" bestFit="1" customWidth="1"/>
    <col min="5" max="5" width="11.7265625" bestFit="1" customWidth="1"/>
    <col min="6" max="6" width="2.6328125" customWidth="1"/>
    <col min="7" max="7" width="10.90625" bestFit="1" customWidth="1"/>
    <col min="9" max="9" width="10.26953125" bestFit="1" customWidth="1"/>
    <col min="10" max="10" width="13.7265625" bestFit="1" customWidth="1"/>
    <col min="11" max="11" width="2.6328125" customWidth="1"/>
    <col min="12" max="12" width="10.90625" bestFit="1" customWidth="1"/>
    <col min="15" max="15" width="15.54296875" bestFit="1" customWidth="1"/>
  </cols>
  <sheetData>
    <row r="2" spans="1:15" x14ac:dyDescent="0.35">
      <c r="A2" t="s">
        <v>157</v>
      </c>
      <c r="B2" s="55" t="str">
        <f>"FSN E-Commerce "&amp;"-"&amp;" Sales Growth"</f>
        <v>FSN E-Commerce - Sales Growth</v>
      </c>
      <c r="C2" s="55"/>
      <c r="D2" s="55"/>
      <c r="E2" s="55"/>
      <c r="G2" s="55" t="str">
        <f>"FSN E-Commerce "&amp;"-"&amp;" EBITDA Growth"</f>
        <v>FSN E-Commerce - EBITDA Growth</v>
      </c>
      <c r="H2" s="55"/>
      <c r="I2" s="55"/>
      <c r="J2" s="55"/>
      <c r="L2" s="55" t="str">
        <f>"FSN E-Commerce "&amp;"-"&amp;" Net Profit Growth"</f>
        <v>FSN E-Commerce - Net Profit Growth</v>
      </c>
      <c r="M2" s="55"/>
      <c r="N2" s="55"/>
      <c r="O2" s="55"/>
    </row>
    <row r="3" spans="1:15" x14ac:dyDescent="0.35">
      <c r="B3" s="9" t="s">
        <v>152</v>
      </c>
      <c r="C3" s="11" t="s">
        <v>153</v>
      </c>
      <c r="D3" s="11" t="s">
        <v>13</v>
      </c>
      <c r="E3" s="11" t="s">
        <v>57</v>
      </c>
      <c r="G3" s="9" t="s">
        <v>152</v>
      </c>
      <c r="H3" s="11" t="s">
        <v>153</v>
      </c>
      <c r="I3" s="11" t="s">
        <v>64</v>
      </c>
      <c r="J3" s="11" t="s">
        <v>122</v>
      </c>
      <c r="L3" s="9" t="s">
        <v>152</v>
      </c>
      <c r="M3" s="11" t="s">
        <v>153</v>
      </c>
      <c r="N3" s="11" t="s">
        <v>72</v>
      </c>
      <c r="O3" s="11" t="s">
        <v>123</v>
      </c>
    </row>
    <row r="4" spans="1:15" x14ac:dyDescent="0.35">
      <c r="B4" s="52">
        <v>1</v>
      </c>
      <c r="C4" s="54">
        <v>2018</v>
      </c>
      <c r="D4" s="51">
        <v>574.36</v>
      </c>
      <c r="G4" s="52">
        <v>1</v>
      </c>
      <c r="H4" s="54">
        <v>2018</v>
      </c>
      <c r="I4" s="58">
        <f t="shared" ref="I4:I16" si="0">FORECAST(G4,$D$4:$D$12,$B$4:$B$12)</f>
        <v>-330.89888888888891</v>
      </c>
      <c r="L4" s="52">
        <v>1</v>
      </c>
      <c r="M4" s="54">
        <v>2018</v>
      </c>
      <c r="N4" s="58" t="s">
        <v>158</v>
      </c>
    </row>
    <row r="5" spans="1:15" x14ac:dyDescent="0.35">
      <c r="B5" s="52">
        <f>B4+1</f>
        <v>2</v>
      </c>
      <c r="C5" s="54">
        <f>C4+1</f>
        <v>2019</v>
      </c>
      <c r="D5" s="51">
        <v>1111.3900000000001</v>
      </c>
      <c r="E5" s="35">
        <f>D5/D4-1</f>
        <v>0.93500591963228641</v>
      </c>
      <c r="G5" s="52">
        <f>G4+1</f>
        <v>2</v>
      </c>
      <c r="H5" s="54">
        <f>H4+1</f>
        <v>2019</v>
      </c>
      <c r="I5" s="58">
        <f t="shared" si="0"/>
        <v>839.87361111111113</v>
      </c>
      <c r="J5" s="35">
        <f>I5/I4-1</f>
        <v>-3.5381578461362819</v>
      </c>
      <c r="L5" s="52">
        <f>L4+1</f>
        <v>2</v>
      </c>
      <c r="M5" s="54">
        <f>M4+1</f>
        <v>2019</v>
      </c>
      <c r="N5" s="58">
        <v>-36.70999999999993</v>
      </c>
      <c r="O5" s="35" t="e">
        <f>N5/N4-1</f>
        <v>#VALUE!</v>
      </c>
    </row>
    <row r="6" spans="1:15" x14ac:dyDescent="0.35">
      <c r="B6" s="52">
        <f t="shared" ref="B6:B16" si="1">B5+1</f>
        <v>3</v>
      </c>
      <c r="C6" s="54">
        <f t="shared" ref="C6:C16" si="2">C5+1</f>
        <v>2020</v>
      </c>
      <c r="D6" s="51">
        <v>1767.53</v>
      </c>
      <c r="E6" s="35">
        <f t="shared" ref="E6:E16" si="3">D6/D5-1</f>
        <v>0.59037781516839249</v>
      </c>
      <c r="G6" s="52">
        <f t="shared" ref="G6:H16" si="4">G5+1</f>
        <v>3</v>
      </c>
      <c r="H6" s="54">
        <f t="shared" si="4"/>
        <v>2020</v>
      </c>
      <c r="I6" s="58">
        <f t="shared" si="0"/>
        <v>2010.6461111111112</v>
      </c>
      <c r="J6" s="35">
        <f t="shared" ref="J6:J16" si="5">I6/I5-1</f>
        <v>1.3939865290577784</v>
      </c>
      <c r="L6" s="52">
        <f t="shared" ref="L6:M6" si="6">L5+1</f>
        <v>3</v>
      </c>
      <c r="M6" s="54">
        <f t="shared" si="6"/>
        <v>2020</v>
      </c>
      <c r="N6" s="58">
        <v>-22.749999999999602</v>
      </c>
      <c r="O6" s="35">
        <f t="shared" ref="O6:O16" si="7">N6/N5-1</f>
        <v>-0.38027785344593723</v>
      </c>
    </row>
    <row r="7" spans="1:15" x14ac:dyDescent="0.35">
      <c r="B7" s="52">
        <f t="shared" si="1"/>
        <v>4</v>
      </c>
      <c r="C7" s="54">
        <f t="shared" si="2"/>
        <v>2021</v>
      </c>
      <c r="D7" s="51">
        <v>2440.9</v>
      </c>
      <c r="E7" s="35">
        <f t="shared" si="3"/>
        <v>0.3809666596889445</v>
      </c>
      <c r="G7" s="52">
        <f t="shared" si="4"/>
        <v>4</v>
      </c>
      <c r="H7" s="54">
        <f t="shared" si="4"/>
        <v>2021</v>
      </c>
      <c r="I7" s="58">
        <f t="shared" si="0"/>
        <v>3181.4186111111112</v>
      </c>
      <c r="J7" s="35">
        <f t="shared" si="5"/>
        <v>0.58228670551727024</v>
      </c>
      <c r="L7" s="52">
        <f t="shared" ref="L7:M7" si="8">L6+1</f>
        <v>4</v>
      </c>
      <c r="M7" s="54">
        <f t="shared" si="8"/>
        <v>2021</v>
      </c>
      <c r="N7" s="58">
        <v>54.359999999999957</v>
      </c>
      <c r="O7" s="35">
        <f t="shared" si="7"/>
        <v>-3.3894505494505895</v>
      </c>
    </row>
    <row r="8" spans="1:15" x14ac:dyDescent="0.35">
      <c r="B8" s="52">
        <f t="shared" si="1"/>
        <v>5</v>
      </c>
      <c r="C8" s="54">
        <f t="shared" si="2"/>
        <v>2022</v>
      </c>
      <c r="D8" s="51">
        <v>3773.94</v>
      </c>
      <c r="E8" s="35">
        <f t="shared" si="3"/>
        <v>0.54612642877627104</v>
      </c>
      <c r="G8" s="52">
        <f t="shared" si="4"/>
        <v>5</v>
      </c>
      <c r="H8" s="54">
        <f t="shared" si="4"/>
        <v>2022</v>
      </c>
      <c r="I8" s="58">
        <f t="shared" si="0"/>
        <v>4352.1911111111112</v>
      </c>
      <c r="J8" s="35">
        <f t="shared" si="5"/>
        <v>0.36800328504745483</v>
      </c>
      <c r="L8" s="52">
        <f t="shared" ref="L8:M8" si="9">L7+1</f>
        <v>5</v>
      </c>
      <c r="M8" s="54">
        <f t="shared" si="9"/>
        <v>2022</v>
      </c>
      <c r="N8" s="58">
        <v>20.340000000000089</v>
      </c>
      <c r="O8" s="35">
        <f t="shared" si="7"/>
        <v>-0.62582781456953451</v>
      </c>
    </row>
    <row r="9" spans="1:15" x14ac:dyDescent="0.35">
      <c r="B9" s="52">
        <f t="shared" si="1"/>
        <v>6</v>
      </c>
      <c r="C9" s="54">
        <f t="shared" si="2"/>
        <v>2023</v>
      </c>
      <c r="D9" s="51">
        <v>5143.8</v>
      </c>
      <c r="E9" s="35">
        <f t="shared" si="3"/>
        <v>0.36297874370021788</v>
      </c>
      <c r="G9" s="52">
        <f t="shared" si="4"/>
        <v>6</v>
      </c>
      <c r="H9" s="54">
        <f t="shared" si="4"/>
        <v>2023</v>
      </c>
      <c r="I9" s="58">
        <f t="shared" si="0"/>
        <v>5522.9636111111113</v>
      </c>
      <c r="J9" s="35">
        <f t="shared" si="5"/>
        <v>0.26900760332215801</v>
      </c>
      <c r="L9" s="52">
        <f t="shared" ref="L9:M9" si="10">L8+1</f>
        <v>6</v>
      </c>
      <c r="M9" s="54">
        <f t="shared" si="10"/>
        <v>2023</v>
      </c>
      <c r="N9" s="58">
        <v>8.1800000000004047</v>
      </c>
      <c r="O9" s="35">
        <f t="shared" si="7"/>
        <v>-0.5978367748279072</v>
      </c>
    </row>
    <row r="10" spans="1:15" x14ac:dyDescent="0.35">
      <c r="B10" s="52">
        <f t="shared" si="1"/>
        <v>7</v>
      </c>
      <c r="C10" s="54">
        <f t="shared" si="2"/>
        <v>2024</v>
      </c>
      <c r="D10" s="51">
        <v>6385.63</v>
      </c>
      <c r="E10" s="35">
        <f t="shared" si="3"/>
        <v>0.24142268361911423</v>
      </c>
      <c r="G10" s="52">
        <f t="shared" si="4"/>
        <v>7</v>
      </c>
      <c r="H10" s="54">
        <f t="shared" si="4"/>
        <v>2024</v>
      </c>
      <c r="I10" s="58">
        <f t="shared" si="0"/>
        <v>6693.7361111111122</v>
      </c>
      <c r="J10" s="35">
        <f t="shared" si="5"/>
        <v>0.21198265685557627</v>
      </c>
      <c r="L10" s="52">
        <f t="shared" ref="L10:M10" si="11">L9+1</f>
        <v>7</v>
      </c>
      <c r="M10" s="54">
        <f t="shared" si="11"/>
        <v>2024</v>
      </c>
      <c r="N10" s="58">
        <v>39.090000000000146</v>
      </c>
      <c r="O10" s="35">
        <f t="shared" si="7"/>
        <v>3.7787286063567498</v>
      </c>
    </row>
    <row r="11" spans="1:15" x14ac:dyDescent="0.35">
      <c r="B11" s="52">
        <f t="shared" si="1"/>
        <v>8</v>
      </c>
      <c r="C11" s="54">
        <f t="shared" si="2"/>
        <v>2025</v>
      </c>
      <c r="D11" s="51">
        <v>7949.82</v>
      </c>
      <c r="E11" s="35">
        <f t="shared" si="3"/>
        <v>0.24495468732137615</v>
      </c>
      <c r="G11" s="52">
        <f t="shared" si="4"/>
        <v>8</v>
      </c>
      <c r="H11" s="54">
        <f t="shared" si="4"/>
        <v>2025</v>
      </c>
      <c r="I11" s="58">
        <f t="shared" si="0"/>
        <v>7864.5086111111113</v>
      </c>
      <c r="J11" s="35">
        <f t="shared" si="5"/>
        <v>0.17490568504136306</v>
      </c>
      <c r="L11" s="52">
        <f t="shared" ref="L11:M11" si="12">L10+1</f>
        <v>8</v>
      </c>
      <c r="M11" s="54">
        <f t="shared" si="12"/>
        <v>2025</v>
      </c>
      <c r="N11" s="58">
        <v>100.18999999999977</v>
      </c>
      <c r="O11" s="35">
        <f t="shared" si="7"/>
        <v>1.5630596060373341</v>
      </c>
    </row>
    <row r="12" spans="1:15" x14ac:dyDescent="0.35">
      <c r="B12" s="52">
        <f t="shared" si="1"/>
        <v>9</v>
      </c>
      <c r="C12" s="54">
        <f t="shared" si="2"/>
        <v>2026</v>
      </c>
      <c r="D12" s="51">
        <v>10022.35</v>
      </c>
      <c r="E12" s="35">
        <f t="shared" si="3"/>
        <v>0.26070150015975213</v>
      </c>
      <c r="G12" s="52">
        <f t="shared" si="4"/>
        <v>9</v>
      </c>
      <c r="H12" s="54">
        <f t="shared" si="4"/>
        <v>2026</v>
      </c>
      <c r="I12" s="58">
        <f t="shared" si="0"/>
        <v>9035.2811111111114</v>
      </c>
      <c r="J12" s="35">
        <f t="shared" si="5"/>
        <v>0.14886785149499526</v>
      </c>
      <c r="L12" s="52">
        <f t="shared" ref="L12:M12" si="13">L11+1</f>
        <v>9</v>
      </c>
      <c r="M12" s="54">
        <f t="shared" si="13"/>
        <v>2026</v>
      </c>
      <c r="N12" s="58">
        <v>314.86000000000087</v>
      </c>
      <c r="O12" s="35">
        <f t="shared" si="7"/>
        <v>2.1426290048907237</v>
      </c>
    </row>
    <row r="13" spans="1:15" x14ac:dyDescent="0.35">
      <c r="B13" s="52">
        <f t="shared" si="1"/>
        <v>10</v>
      </c>
      <c r="C13" s="53">
        <f t="shared" si="2"/>
        <v>2027</v>
      </c>
      <c r="D13">
        <f>FORECAST(B13,$D$4:$D$12,$B$4:$B$12)</f>
        <v>10206.053611111111</v>
      </c>
      <c r="E13" s="35">
        <f t="shared" si="3"/>
        <v>1.8329394913479291E-2</v>
      </c>
      <c r="G13" s="52">
        <f t="shared" si="4"/>
        <v>10</v>
      </c>
      <c r="H13" s="53">
        <f t="shared" si="4"/>
        <v>2027</v>
      </c>
      <c r="I13" s="58">
        <f t="shared" si="0"/>
        <v>10206.053611111111</v>
      </c>
      <c r="J13" s="35">
        <f t="shared" si="5"/>
        <v>0.12957787207752114</v>
      </c>
      <c r="L13" s="52">
        <f t="shared" ref="L13:M13" si="14">L12+1</f>
        <v>10</v>
      </c>
      <c r="M13" s="53">
        <f t="shared" si="14"/>
        <v>2027</v>
      </c>
      <c r="N13" s="58">
        <f>FORECAST(L13,$N$4:$N$12,$L$4:$L$12)</f>
        <v>221.35857142857176</v>
      </c>
      <c r="O13" s="35">
        <f t="shared" si="7"/>
        <v>-0.29696191504614378</v>
      </c>
    </row>
    <row r="14" spans="1:15" x14ac:dyDescent="0.35">
      <c r="B14" s="52">
        <f t="shared" si="1"/>
        <v>11</v>
      </c>
      <c r="C14" s="53">
        <f t="shared" si="2"/>
        <v>2028</v>
      </c>
      <c r="D14">
        <f t="shared" ref="D14:D16" si="15">FORECAST(B14,$D$4:$D$12,$B$4:$B$12)</f>
        <v>11376.826111111113</v>
      </c>
      <c r="E14" s="35">
        <f t="shared" si="3"/>
        <v>0.11471353616302848</v>
      </c>
      <c r="G14" s="52">
        <f t="shared" si="4"/>
        <v>11</v>
      </c>
      <c r="H14" s="53">
        <f t="shared" si="4"/>
        <v>2028</v>
      </c>
      <c r="I14" s="58">
        <f t="shared" si="0"/>
        <v>11376.826111111113</v>
      </c>
      <c r="J14" s="35">
        <f t="shared" si="5"/>
        <v>0.11471353616302848</v>
      </c>
      <c r="L14" s="52">
        <f t="shared" ref="L14:M14" si="16">L13+1</f>
        <v>11</v>
      </c>
      <c r="M14" s="53">
        <f t="shared" si="16"/>
        <v>2028</v>
      </c>
      <c r="N14" s="58">
        <f t="shared" ref="N14:N16" si="17">FORECAST(L14,$N$4:$N$12,$L$4:$L$12)</f>
        <v>257.28380952380996</v>
      </c>
      <c r="O14" s="35">
        <f t="shared" si="7"/>
        <v>0.16229431669796712</v>
      </c>
    </row>
    <row r="15" spans="1:15" x14ac:dyDescent="0.35">
      <c r="B15" s="52">
        <f t="shared" si="1"/>
        <v>12</v>
      </c>
      <c r="C15" s="53">
        <f t="shared" si="2"/>
        <v>2029</v>
      </c>
      <c r="D15">
        <f t="shared" si="15"/>
        <v>12547.598611111112</v>
      </c>
      <c r="E15" s="35">
        <f t="shared" si="3"/>
        <v>0.10290853429293167</v>
      </c>
      <c r="G15" s="52">
        <f t="shared" si="4"/>
        <v>12</v>
      </c>
      <c r="H15" s="53">
        <f t="shared" si="4"/>
        <v>2029</v>
      </c>
      <c r="I15" s="58">
        <f t="shared" si="0"/>
        <v>12547.598611111112</v>
      </c>
      <c r="J15" s="35">
        <f t="shared" si="5"/>
        <v>0.10290853429293167</v>
      </c>
      <c r="L15" s="52">
        <f t="shared" ref="L15:M15" si="18">L14+1</f>
        <v>12</v>
      </c>
      <c r="M15" s="53">
        <f t="shared" si="18"/>
        <v>2029</v>
      </c>
      <c r="N15" s="58">
        <f t="shared" si="17"/>
        <v>293.20904761904808</v>
      </c>
      <c r="O15" s="35">
        <f t="shared" si="7"/>
        <v>0.13963271984245651</v>
      </c>
    </row>
    <row r="16" spans="1:15" x14ac:dyDescent="0.35">
      <c r="B16" s="52">
        <f t="shared" si="1"/>
        <v>13</v>
      </c>
      <c r="C16" s="53">
        <f t="shared" si="2"/>
        <v>2030</v>
      </c>
      <c r="D16">
        <f t="shared" si="15"/>
        <v>13718.371111111112</v>
      </c>
      <c r="E16" s="35">
        <f t="shared" si="3"/>
        <v>9.3306499218365202E-2</v>
      </c>
      <c r="G16" s="52">
        <f t="shared" si="4"/>
        <v>13</v>
      </c>
      <c r="H16" s="53">
        <f t="shared" si="4"/>
        <v>2030</v>
      </c>
      <c r="I16" s="58">
        <f t="shared" si="0"/>
        <v>13718.371111111112</v>
      </c>
      <c r="J16" s="35">
        <f t="shared" si="5"/>
        <v>9.3306499218365202E-2</v>
      </c>
      <c r="L16" s="52">
        <f t="shared" ref="L16:M16" si="19">L15+1</f>
        <v>13</v>
      </c>
      <c r="M16" s="53">
        <f t="shared" si="19"/>
        <v>2030</v>
      </c>
      <c r="N16" s="58">
        <f t="shared" si="17"/>
        <v>329.13428571428619</v>
      </c>
      <c r="O16" s="35">
        <f t="shared" si="7"/>
        <v>0.12252431630934524</v>
      </c>
    </row>
    <row r="17" spans="2:4" x14ac:dyDescent="0.35">
      <c r="C17" s="50"/>
    </row>
    <row r="18" spans="2:4" x14ac:dyDescent="0.35">
      <c r="B18" t="s">
        <v>154</v>
      </c>
      <c r="C18" s="49"/>
      <c r="D18" s="15">
        <f>AVERAGE(E5:E12)</f>
        <v>0.44531680475829438</v>
      </c>
    </row>
    <row r="19" spans="2:4" x14ac:dyDescent="0.35">
      <c r="B19" t="s">
        <v>155</v>
      </c>
      <c r="D19" s="35">
        <f>_xlfn.RRI(B12,D4,D12)</f>
        <v>0.37396652922591467</v>
      </c>
    </row>
    <row r="20" spans="2:4" x14ac:dyDescent="0.35">
      <c r="B20" t="s">
        <v>156</v>
      </c>
      <c r="D20" s="35">
        <f>_xlfn.STDEV.S(E5:E12)</f>
        <v>0.23836400889698833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223F-4017-4407-98BD-4E00C257D0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27A-03CD-4493-83E9-7FF92F61B4D3}">
  <dimension ref="A1"/>
  <sheetViews>
    <sheetView showGridLines="0" topLeftCell="A9" workbookViewId="0"/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9D8E-8D59-4B28-9E58-CB89B6E8DB96}">
  <dimension ref="B2:P8"/>
  <sheetViews>
    <sheetView showGridLines="0" tabSelected="1" workbookViewId="0">
      <selection activeCell="G20" sqref="G20"/>
    </sheetView>
  </sheetViews>
  <sheetFormatPr defaultRowHeight="14.5" x14ac:dyDescent="0.35"/>
  <cols>
    <col min="1" max="1" width="1.81640625" customWidth="1"/>
    <col min="2" max="2" width="35.1796875" bestFit="1" customWidth="1"/>
    <col min="5" max="5" width="10" bestFit="1" customWidth="1"/>
    <col min="6" max="6" width="11.08984375" bestFit="1" customWidth="1"/>
  </cols>
  <sheetData>
    <row r="2" spans="2:16" x14ac:dyDescent="0.35">
      <c r="B2" s="26" t="s">
        <v>159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2:16" x14ac:dyDescent="0.35">
      <c r="B4" s="59" t="s">
        <v>160</v>
      </c>
    </row>
    <row r="6" spans="2:16" x14ac:dyDescent="0.35">
      <c r="B6" s="60" t="s">
        <v>161</v>
      </c>
      <c r="C6" s="61"/>
      <c r="D6" s="61"/>
      <c r="E6" s="61"/>
      <c r="F6" s="61"/>
      <c r="G6" s="61"/>
    </row>
    <row r="7" spans="2:16" x14ac:dyDescent="0.35">
      <c r="B7" s="62"/>
      <c r="C7" s="62"/>
      <c r="D7" s="62"/>
      <c r="E7" s="62"/>
      <c r="F7" s="62"/>
      <c r="G7" s="62"/>
      <c r="H7" s="65" t="s">
        <v>167</v>
      </c>
      <c r="I7" s="65" t="s">
        <v>167</v>
      </c>
      <c r="J7" s="65" t="s">
        <v>170</v>
      </c>
      <c r="K7" s="65" t="s">
        <v>171</v>
      </c>
    </row>
    <row r="8" spans="2:16" ht="16.5" x14ac:dyDescent="0.35">
      <c r="B8" s="63" t="s">
        <v>162</v>
      </c>
      <c r="C8" s="64"/>
      <c r="D8" s="63" t="s">
        <v>163</v>
      </c>
      <c r="E8" s="63" t="s">
        <v>164</v>
      </c>
      <c r="F8" s="63" t="s">
        <v>165</v>
      </c>
      <c r="G8" s="63" t="s">
        <v>166</v>
      </c>
      <c r="H8" s="63" t="s">
        <v>168</v>
      </c>
      <c r="I8" s="63" t="s">
        <v>169</v>
      </c>
      <c r="J8" s="63" t="s">
        <v>172</v>
      </c>
      <c r="K8" s="63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1815-A0CE-497E-8D2C-CBEE3923D2D8}">
  <sheetPr>
    <tabColor theme="8" tint="-0.49998474074526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D20E-0C16-47C3-9030-7671817F3618}">
  <dimension ref="A1:K93"/>
  <sheetViews>
    <sheetView topLeftCell="A58" workbookViewId="0">
      <selection activeCell="K67" sqref="K67:K69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1</v>
      </c>
      <c r="B1" s="1" t="s">
        <v>2</v>
      </c>
      <c r="E1" s="56" t="str">
        <f>IF(B2&lt;&gt;B3, "A NEW VERSION OF THE WORKSHEET IS AVAILABLE", "")</f>
        <v/>
      </c>
      <c r="F1" s="56"/>
      <c r="G1" s="56"/>
      <c r="H1" s="56"/>
      <c r="I1" s="56"/>
      <c r="J1" s="56"/>
      <c r="K1" s="56"/>
    </row>
    <row r="2" spans="1:11" x14ac:dyDescent="0.35">
      <c r="A2" s="1" t="s">
        <v>3</v>
      </c>
      <c r="B2" s="2">
        <v>2.1</v>
      </c>
      <c r="E2" s="57" t="s">
        <v>4</v>
      </c>
      <c r="F2" s="57"/>
      <c r="G2" s="57"/>
      <c r="H2" s="57"/>
      <c r="I2" s="57"/>
      <c r="J2" s="57"/>
      <c r="K2" s="57"/>
    </row>
    <row r="3" spans="1:11" x14ac:dyDescent="0.35">
      <c r="A3" s="1" t="s">
        <v>5</v>
      </c>
      <c r="B3" s="2">
        <v>2.1</v>
      </c>
    </row>
    <row r="4" spans="1:11" x14ac:dyDescent="0.35">
      <c r="A4" s="1"/>
    </row>
    <row r="5" spans="1:11" x14ac:dyDescent="0.35">
      <c r="A5" s="1" t="s">
        <v>6</v>
      </c>
    </row>
    <row r="6" spans="1:11" x14ac:dyDescent="0.35">
      <c r="A6" s="2" t="s">
        <v>7</v>
      </c>
      <c r="B6" s="2">
        <f>IF(B9&gt;0, B9/B8, 0)</f>
        <v>286.38240158782662</v>
      </c>
    </row>
    <row r="7" spans="1:11" x14ac:dyDescent="0.35">
      <c r="A7" s="2" t="s">
        <v>8</v>
      </c>
      <c r="B7">
        <v>1</v>
      </c>
    </row>
    <row r="8" spans="1:11" x14ac:dyDescent="0.35">
      <c r="A8" s="2" t="s">
        <v>9</v>
      </c>
      <c r="B8">
        <v>302.3</v>
      </c>
    </row>
    <row r="9" spans="1:11" x14ac:dyDescent="0.35">
      <c r="A9" s="2" t="s">
        <v>10</v>
      </c>
      <c r="B9">
        <v>86573.4</v>
      </c>
    </row>
    <row r="15" spans="1:11" x14ac:dyDescent="0.35">
      <c r="A15" s="1" t="s">
        <v>11</v>
      </c>
    </row>
    <row r="16" spans="1:11" s="5" customFormat="1" x14ac:dyDescent="0.35">
      <c r="A16" s="3" t="s">
        <v>12</v>
      </c>
      <c r="B16" s="4"/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5">
      <c r="A17" s="6" t="s">
        <v>13</v>
      </c>
      <c r="C17">
        <v>574.36</v>
      </c>
      <c r="D17">
        <v>1111.3900000000001</v>
      </c>
      <c r="E17">
        <v>1767.53</v>
      </c>
      <c r="F17">
        <v>2440.9</v>
      </c>
      <c r="G17">
        <v>3773.94</v>
      </c>
      <c r="H17">
        <v>5143.8</v>
      </c>
      <c r="I17">
        <v>6385.63</v>
      </c>
      <c r="J17">
        <v>7949.82</v>
      </c>
      <c r="K17">
        <v>10022.35</v>
      </c>
    </row>
    <row r="18" spans="1:11" s="6" customFormat="1" x14ac:dyDescent="0.35">
      <c r="A18" s="2" t="s">
        <v>14</v>
      </c>
      <c r="C18">
        <v>436.16</v>
      </c>
      <c r="D18">
        <v>785.48</v>
      </c>
      <c r="E18">
        <v>1196.0899999999999</v>
      </c>
      <c r="F18">
        <v>1533.85</v>
      </c>
      <c r="G18">
        <v>2492.14</v>
      </c>
      <c r="H18">
        <v>3007.42</v>
      </c>
      <c r="I18">
        <v>3846.79</v>
      </c>
      <c r="J18">
        <v>4691.18</v>
      </c>
      <c r="K18">
        <v>5733.19</v>
      </c>
    </row>
    <row r="19" spans="1:11" s="6" customFormat="1" x14ac:dyDescent="0.35">
      <c r="A19" s="2" t="s">
        <v>15</v>
      </c>
      <c r="C19">
        <v>59.93</v>
      </c>
      <c r="D19">
        <v>125.21</v>
      </c>
      <c r="E19">
        <v>181.88</v>
      </c>
      <c r="F19">
        <v>41.27</v>
      </c>
      <c r="G19">
        <v>362.13</v>
      </c>
      <c r="H19">
        <v>141.74</v>
      </c>
      <c r="I19">
        <v>200.4</v>
      </c>
      <c r="J19">
        <v>218.52</v>
      </c>
      <c r="K19">
        <v>226.66</v>
      </c>
    </row>
    <row r="20" spans="1:11" s="6" customFormat="1" x14ac:dyDescent="0.35">
      <c r="A20" s="2" t="s">
        <v>16</v>
      </c>
      <c r="C20">
        <v>0.6</v>
      </c>
      <c r="D20">
        <v>2.09</v>
      </c>
      <c r="E20">
        <v>4.62</v>
      </c>
      <c r="F20">
        <v>4.4000000000000004</v>
      </c>
      <c r="G20">
        <v>6.64</v>
      </c>
      <c r="H20">
        <v>14.99</v>
      </c>
      <c r="I20">
        <v>20.68</v>
      </c>
      <c r="J20">
        <v>25.83</v>
      </c>
    </row>
    <row r="21" spans="1:11" s="6" customFormat="1" x14ac:dyDescent="0.35">
      <c r="A21" s="2" t="s">
        <v>17</v>
      </c>
      <c r="C21">
        <v>27.29</v>
      </c>
      <c r="D21">
        <v>48.09</v>
      </c>
      <c r="E21">
        <v>70.75</v>
      </c>
      <c r="F21">
        <v>137.03</v>
      </c>
      <c r="G21">
        <v>233.28</v>
      </c>
      <c r="H21">
        <v>199.27</v>
      </c>
      <c r="I21">
        <v>188.75</v>
      </c>
      <c r="J21">
        <v>216.21</v>
      </c>
    </row>
    <row r="22" spans="1:11" s="6" customFormat="1" x14ac:dyDescent="0.35">
      <c r="A22" s="2" t="s">
        <v>18</v>
      </c>
      <c r="C22">
        <v>54.93</v>
      </c>
      <c r="D22">
        <v>117.3</v>
      </c>
      <c r="E22">
        <v>195.63</v>
      </c>
      <c r="F22">
        <v>233.37</v>
      </c>
      <c r="G22">
        <v>327.57</v>
      </c>
      <c r="H22">
        <v>493.26</v>
      </c>
      <c r="I22">
        <v>566.26</v>
      </c>
      <c r="J22">
        <v>667.59</v>
      </c>
      <c r="K22">
        <v>771.53</v>
      </c>
    </row>
    <row r="23" spans="1:11" s="6" customFormat="1" x14ac:dyDescent="0.35">
      <c r="A23" s="2" t="s">
        <v>19</v>
      </c>
      <c r="C23">
        <v>139.22</v>
      </c>
      <c r="D23">
        <v>253.12</v>
      </c>
      <c r="E23">
        <v>387.59</v>
      </c>
      <c r="F23">
        <v>389.05</v>
      </c>
      <c r="G23">
        <v>886.55</v>
      </c>
      <c r="H23">
        <v>1300.56</v>
      </c>
      <c r="I23">
        <v>1591.29</v>
      </c>
      <c r="J23">
        <v>2071.9</v>
      </c>
    </row>
    <row r="24" spans="1:11" s="6" customFormat="1" x14ac:dyDescent="0.35">
      <c r="A24" s="2" t="s">
        <v>20</v>
      </c>
      <c r="C24">
        <v>2.7</v>
      </c>
      <c r="D24">
        <v>9.66</v>
      </c>
      <c r="E24">
        <v>11.73</v>
      </c>
      <c r="F24">
        <v>26.23</v>
      </c>
      <c r="G24">
        <v>25.84</v>
      </c>
      <c r="H24">
        <v>12.98</v>
      </c>
      <c r="I24">
        <v>25.38</v>
      </c>
      <c r="J24">
        <v>20.85</v>
      </c>
      <c r="K24">
        <v>2991.98</v>
      </c>
    </row>
    <row r="25" spans="1:11" s="6" customFormat="1" x14ac:dyDescent="0.35">
      <c r="A25" s="6" t="s">
        <v>21</v>
      </c>
      <c r="C25">
        <v>3.72</v>
      </c>
      <c r="D25">
        <v>4.99</v>
      </c>
      <c r="E25">
        <v>10.32</v>
      </c>
      <c r="F25">
        <v>11.76</v>
      </c>
      <c r="G25">
        <v>26.97</v>
      </c>
      <c r="H25">
        <v>30.21</v>
      </c>
      <c r="I25">
        <v>29.94</v>
      </c>
      <c r="J25">
        <v>27.26</v>
      </c>
      <c r="K25">
        <v>15.37</v>
      </c>
    </row>
    <row r="26" spans="1:11" s="6" customFormat="1" x14ac:dyDescent="0.35">
      <c r="A26" s="6" t="s">
        <v>22</v>
      </c>
      <c r="C26">
        <v>7.4</v>
      </c>
      <c r="D26">
        <v>30.88</v>
      </c>
      <c r="E26">
        <v>59.51</v>
      </c>
      <c r="F26">
        <v>71.59</v>
      </c>
      <c r="G26">
        <v>96.41</v>
      </c>
      <c r="H26">
        <v>173.26</v>
      </c>
      <c r="I26">
        <v>224.23</v>
      </c>
      <c r="J26">
        <v>266.39999999999998</v>
      </c>
      <c r="K26">
        <v>320.33</v>
      </c>
    </row>
    <row r="27" spans="1:11" s="6" customFormat="1" x14ac:dyDescent="0.35">
      <c r="A27" s="6" t="s">
        <v>23</v>
      </c>
      <c r="C27">
        <v>7.16</v>
      </c>
      <c r="D27">
        <v>26.69</v>
      </c>
      <c r="E27">
        <v>46.24</v>
      </c>
      <c r="F27">
        <v>32.29</v>
      </c>
      <c r="G27">
        <v>47.3</v>
      </c>
      <c r="H27">
        <v>75.62</v>
      </c>
      <c r="I27">
        <v>83.56</v>
      </c>
      <c r="J27">
        <v>108.19</v>
      </c>
      <c r="K27">
        <v>117.12</v>
      </c>
    </row>
    <row r="28" spans="1:11" s="6" customFormat="1" x14ac:dyDescent="0.35">
      <c r="A28" s="6" t="s">
        <v>24</v>
      </c>
      <c r="C28">
        <v>-37.450000000000003</v>
      </c>
      <c r="D28">
        <v>-31.72</v>
      </c>
      <c r="E28">
        <v>-12.43</v>
      </c>
      <c r="F28">
        <v>66.12</v>
      </c>
      <c r="G28">
        <v>47.31</v>
      </c>
      <c r="H28">
        <v>38.39</v>
      </c>
      <c r="I28">
        <v>69.03</v>
      </c>
      <c r="J28">
        <v>127.45</v>
      </c>
      <c r="K28">
        <v>330.23</v>
      </c>
    </row>
    <row r="29" spans="1:11" s="6" customFormat="1" x14ac:dyDescent="0.35">
      <c r="A29" s="6" t="s">
        <v>25</v>
      </c>
      <c r="C29">
        <v>-9.27</v>
      </c>
      <c r="D29">
        <v>-7.18</v>
      </c>
      <c r="E29">
        <v>3.91</v>
      </c>
      <c r="F29">
        <v>4.4800000000000004</v>
      </c>
      <c r="G29">
        <v>6.02</v>
      </c>
      <c r="H29">
        <v>13.57</v>
      </c>
      <c r="I29">
        <v>25.32</v>
      </c>
      <c r="J29">
        <v>53.75</v>
      </c>
      <c r="K29">
        <v>126.29</v>
      </c>
    </row>
    <row r="30" spans="1:11" s="6" customFormat="1" x14ac:dyDescent="0.35">
      <c r="A30" s="6" t="s">
        <v>26</v>
      </c>
      <c r="C30">
        <v>-28.18</v>
      </c>
      <c r="D30">
        <v>-24.52</v>
      </c>
      <c r="E30">
        <v>-16.61</v>
      </c>
      <c r="F30">
        <v>61.55</v>
      </c>
      <c r="G30">
        <v>41.08</v>
      </c>
      <c r="H30">
        <v>19.260000000000002</v>
      </c>
      <c r="I30">
        <v>32.270000000000003</v>
      </c>
      <c r="J30">
        <v>66.08</v>
      </c>
      <c r="K30">
        <v>199.44</v>
      </c>
    </row>
    <row r="31" spans="1:11" s="6" customFormat="1" x14ac:dyDescent="0.35">
      <c r="A31" s="6" t="s">
        <v>27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28</v>
      </c>
    </row>
    <row r="41" spans="1:11" s="5" customFormat="1" x14ac:dyDescent="0.35">
      <c r="A41" s="3" t="s">
        <v>12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5">
      <c r="A42" s="6" t="s">
        <v>13</v>
      </c>
      <c r="B42">
        <v>1788.8</v>
      </c>
      <c r="C42">
        <v>1667.98</v>
      </c>
      <c r="D42">
        <v>1746.11</v>
      </c>
      <c r="E42">
        <v>1874.74</v>
      </c>
      <c r="F42">
        <v>2267.21</v>
      </c>
      <c r="G42">
        <v>2061.7600000000002</v>
      </c>
      <c r="H42">
        <v>2154.94</v>
      </c>
      <c r="I42">
        <v>2345.98</v>
      </c>
      <c r="J42">
        <v>2873.26</v>
      </c>
      <c r="K42">
        <v>2648.17</v>
      </c>
    </row>
    <row r="43" spans="1:11" s="6" customFormat="1" x14ac:dyDescent="0.35">
      <c r="A43" s="6" t="s">
        <v>29</v>
      </c>
      <c r="B43">
        <v>1690.02</v>
      </c>
      <c r="C43">
        <v>1574.7</v>
      </c>
      <c r="D43">
        <v>1649.99</v>
      </c>
      <c r="E43">
        <v>1771.08</v>
      </c>
      <c r="F43">
        <v>2126.4299999999998</v>
      </c>
      <c r="G43">
        <v>1928.41</v>
      </c>
      <c r="H43">
        <v>2014.26</v>
      </c>
      <c r="I43">
        <v>2187.0300000000002</v>
      </c>
      <c r="J43">
        <v>2643.5</v>
      </c>
      <c r="K43">
        <v>2425.25</v>
      </c>
    </row>
    <row r="44" spans="1:11" s="6" customFormat="1" x14ac:dyDescent="0.35">
      <c r="A44" s="6" t="s">
        <v>21</v>
      </c>
      <c r="B44">
        <v>7.58</v>
      </c>
      <c r="C44">
        <v>7.06</v>
      </c>
      <c r="D44">
        <v>7.33</v>
      </c>
      <c r="E44">
        <v>5.45</v>
      </c>
      <c r="F44">
        <v>5.53</v>
      </c>
      <c r="G44">
        <v>8.9499999999999993</v>
      </c>
      <c r="H44">
        <v>9.33</v>
      </c>
      <c r="I44">
        <v>6.99</v>
      </c>
      <c r="J44">
        <v>-10.1</v>
      </c>
      <c r="K44">
        <v>9.15</v>
      </c>
    </row>
    <row r="45" spans="1:11" s="6" customFormat="1" x14ac:dyDescent="0.35">
      <c r="A45" s="6" t="s">
        <v>22</v>
      </c>
      <c r="B45">
        <v>58.03</v>
      </c>
      <c r="C45">
        <v>59.65</v>
      </c>
      <c r="D45">
        <v>60.06</v>
      </c>
      <c r="E45">
        <v>63.62</v>
      </c>
      <c r="F45">
        <v>69.819999999999993</v>
      </c>
      <c r="G45">
        <v>72.900000000000006</v>
      </c>
      <c r="H45">
        <v>76.14</v>
      </c>
      <c r="I45">
        <v>79.09</v>
      </c>
      <c r="J45">
        <v>80.88</v>
      </c>
      <c r="K45">
        <v>84.22</v>
      </c>
    </row>
    <row r="46" spans="1:11" s="6" customFormat="1" x14ac:dyDescent="0.35">
      <c r="A46" s="6" t="s">
        <v>23</v>
      </c>
      <c r="B46">
        <v>21.84</v>
      </c>
      <c r="C46">
        <v>21.13</v>
      </c>
      <c r="D46">
        <v>21.31</v>
      </c>
      <c r="E46">
        <v>24.23</v>
      </c>
      <c r="F46">
        <v>31.93</v>
      </c>
      <c r="G46">
        <v>29.85</v>
      </c>
      <c r="H46">
        <v>30.16</v>
      </c>
      <c r="I46">
        <v>31.47</v>
      </c>
      <c r="J46">
        <v>29.16</v>
      </c>
      <c r="K46">
        <v>26.33</v>
      </c>
    </row>
    <row r="47" spans="1:11" s="6" customFormat="1" x14ac:dyDescent="0.35">
      <c r="A47" s="6" t="s">
        <v>24</v>
      </c>
      <c r="B47">
        <v>26.49</v>
      </c>
      <c r="C47">
        <v>19.559999999999999</v>
      </c>
      <c r="D47">
        <v>22.08</v>
      </c>
      <c r="E47">
        <v>21.26</v>
      </c>
      <c r="F47">
        <v>44.56</v>
      </c>
      <c r="G47">
        <v>39.549999999999997</v>
      </c>
      <c r="H47">
        <v>43.71</v>
      </c>
      <c r="I47">
        <v>55.38</v>
      </c>
      <c r="J47">
        <v>109.62</v>
      </c>
      <c r="K47">
        <v>121.52</v>
      </c>
    </row>
    <row r="48" spans="1:11" s="6" customFormat="1" x14ac:dyDescent="0.35">
      <c r="A48" s="6" t="s">
        <v>25</v>
      </c>
      <c r="B48">
        <v>8.26</v>
      </c>
      <c r="C48">
        <v>9.83</v>
      </c>
      <c r="D48">
        <v>7.84</v>
      </c>
      <c r="E48">
        <v>7.82</v>
      </c>
      <c r="F48">
        <v>17.59</v>
      </c>
      <c r="G48">
        <v>20.5</v>
      </c>
      <c r="H48">
        <v>19.239999999999998</v>
      </c>
      <c r="I48">
        <v>22.4</v>
      </c>
      <c r="J48">
        <v>41.88</v>
      </c>
      <c r="K48">
        <v>42.77</v>
      </c>
    </row>
    <row r="49" spans="1:11" s="6" customFormat="1" x14ac:dyDescent="0.35">
      <c r="A49" s="6" t="s">
        <v>26</v>
      </c>
      <c r="B49">
        <v>16.190000000000001</v>
      </c>
      <c r="C49">
        <v>6.93</v>
      </c>
      <c r="D49">
        <v>9.64</v>
      </c>
      <c r="E49">
        <v>10.039999999999999</v>
      </c>
      <c r="F49">
        <v>26.12</v>
      </c>
      <c r="G49">
        <v>20.28</v>
      </c>
      <c r="H49">
        <v>23.32</v>
      </c>
      <c r="I49">
        <v>34.43</v>
      </c>
      <c r="J49">
        <v>63.31</v>
      </c>
      <c r="K49">
        <v>78.38</v>
      </c>
    </row>
    <row r="50" spans="1:11" x14ac:dyDescent="0.35">
      <c r="A50" s="6" t="s">
        <v>30</v>
      </c>
      <c r="B50">
        <v>98.78</v>
      </c>
      <c r="C50">
        <v>93.28</v>
      </c>
      <c r="D50">
        <v>96.12</v>
      </c>
      <c r="E50">
        <v>103.66</v>
      </c>
      <c r="F50">
        <v>140.78</v>
      </c>
      <c r="G50">
        <v>133.35</v>
      </c>
      <c r="H50">
        <v>140.68</v>
      </c>
      <c r="I50">
        <v>158.94999999999999</v>
      </c>
      <c r="J50">
        <v>229.76</v>
      </c>
      <c r="K50">
        <v>222.92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31</v>
      </c>
    </row>
    <row r="56" spans="1:11" s="5" customFormat="1" x14ac:dyDescent="0.35">
      <c r="A56" s="3" t="s">
        <v>12</v>
      </c>
      <c r="B56" s="4"/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5">
      <c r="A57" s="6" t="s">
        <v>32</v>
      </c>
      <c r="C57">
        <v>13.56</v>
      </c>
      <c r="D57">
        <v>14.24</v>
      </c>
      <c r="E57">
        <v>14.55</v>
      </c>
      <c r="F57">
        <v>15.06</v>
      </c>
      <c r="G57">
        <v>47.41</v>
      </c>
      <c r="H57">
        <v>285.25</v>
      </c>
      <c r="I57">
        <v>285.60000000000002</v>
      </c>
      <c r="J57">
        <v>285.93</v>
      </c>
      <c r="K57">
        <v>286.33</v>
      </c>
    </row>
    <row r="58" spans="1:11" x14ac:dyDescent="0.35">
      <c r="A58" s="6" t="s">
        <v>33</v>
      </c>
      <c r="C58">
        <v>108.03</v>
      </c>
      <c r="D58">
        <v>216.32</v>
      </c>
      <c r="E58">
        <v>307.39999999999998</v>
      </c>
      <c r="F58">
        <v>474.51</v>
      </c>
      <c r="G58">
        <v>1292.49</v>
      </c>
      <c r="H58">
        <v>1092.77</v>
      </c>
      <c r="I58">
        <v>976.63</v>
      </c>
      <c r="J58">
        <v>1015.35</v>
      </c>
      <c r="K58">
        <v>1151.6500000000001</v>
      </c>
    </row>
    <row r="59" spans="1:11" x14ac:dyDescent="0.35">
      <c r="A59" s="6" t="s">
        <v>34</v>
      </c>
      <c r="C59">
        <v>83.05</v>
      </c>
      <c r="D59">
        <v>310.47000000000003</v>
      </c>
      <c r="E59">
        <v>412.77</v>
      </c>
      <c r="F59">
        <v>333</v>
      </c>
      <c r="G59">
        <v>592.62</v>
      </c>
      <c r="H59">
        <v>798.5</v>
      </c>
      <c r="I59">
        <v>969.49</v>
      </c>
      <c r="J59">
        <v>1320.59</v>
      </c>
      <c r="K59">
        <v>1237.81</v>
      </c>
    </row>
    <row r="60" spans="1:11" x14ac:dyDescent="0.35">
      <c r="A60" s="6" t="s">
        <v>35</v>
      </c>
      <c r="C60">
        <v>148.5</v>
      </c>
      <c r="D60">
        <v>234.62</v>
      </c>
      <c r="E60">
        <v>389.76</v>
      </c>
      <c r="F60">
        <v>479.37</v>
      </c>
      <c r="G60">
        <v>713.52</v>
      </c>
      <c r="H60">
        <v>773.45</v>
      </c>
      <c r="I60">
        <v>1168.9100000000001</v>
      </c>
      <c r="J60">
        <v>1357.66</v>
      </c>
      <c r="K60">
        <v>1935.59</v>
      </c>
    </row>
    <row r="61" spans="1:11" s="1" customFormat="1" x14ac:dyDescent="0.35">
      <c r="A61" s="1" t="s">
        <v>36</v>
      </c>
      <c r="C61">
        <v>353.14</v>
      </c>
      <c r="D61">
        <v>775.65</v>
      </c>
      <c r="E61">
        <v>1124.48</v>
      </c>
      <c r="F61">
        <v>1301.94</v>
      </c>
      <c r="G61">
        <v>2646.04</v>
      </c>
      <c r="H61">
        <v>2949.97</v>
      </c>
      <c r="I61">
        <v>3400.63</v>
      </c>
      <c r="J61">
        <v>3979.53</v>
      </c>
      <c r="K61">
        <v>4611.38</v>
      </c>
    </row>
    <row r="62" spans="1:11" x14ac:dyDescent="0.35">
      <c r="A62" s="6" t="s">
        <v>37</v>
      </c>
      <c r="C62">
        <v>34.119999999999997</v>
      </c>
      <c r="D62">
        <v>139.58000000000001</v>
      </c>
      <c r="E62">
        <v>227.03</v>
      </c>
      <c r="F62">
        <v>231.13</v>
      </c>
      <c r="G62">
        <v>483.25</v>
      </c>
      <c r="H62">
        <v>698.82</v>
      </c>
      <c r="I62">
        <v>668.16</v>
      </c>
      <c r="J62">
        <v>834.82</v>
      </c>
      <c r="K62">
        <v>1007.95</v>
      </c>
    </row>
    <row r="63" spans="1:11" x14ac:dyDescent="0.35">
      <c r="A63" s="6" t="s">
        <v>38</v>
      </c>
      <c r="C63">
        <v>0.44</v>
      </c>
      <c r="D63">
        <v>0.32</v>
      </c>
      <c r="E63">
        <v>2.02</v>
      </c>
      <c r="F63">
        <v>2.36</v>
      </c>
      <c r="G63">
        <v>24.5</v>
      </c>
      <c r="H63">
        <v>30.88</v>
      </c>
      <c r="I63">
        <v>29.78</v>
      </c>
      <c r="J63">
        <v>36.74</v>
      </c>
      <c r="K63">
        <v>9.25</v>
      </c>
    </row>
    <row r="64" spans="1:11" x14ac:dyDescent="0.35">
      <c r="A64" s="6" t="s">
        <v>39</v>
      </c>
      <c r="C64">
        <v>10.42</v>
      </c>
      <c r="D64">
        <v>138.27000000000001</v>
      </c>
      <c r="E64">
        <v>3.8</v>
      </c>
      <c r="F64">
        <v>1.32</v>
      </c>
      <c r="H64">
        <v>38.119999999999997</v>
      </c>
      <c r="I64">
        <v>34.31</v>
      </c>
      <c r="J64">
        <v>0.16</v>
      </c>
      <c r="K64">
        <v>0.16</v>
      </c>
    </row>
    <row r="65" spans="1:11" x14ac:dyDescent="0.35">
      <c r="A65" s="6" t="s">
        <v>40</v>
      </c>
      <c r="C65">
        <v>308.16000000000003</v>
      </c>
      <c r="D65">
        <v>497.48</v>
      </c>
      <c r="E65">
        <v>891.63</v>
      </c>
      <c r="F65">
        <v>1067.1300000000001</v>
      </c>
      <c r="G65">
        <v>2138.29</v>
      </c>
      <c r="H65">
        <v>2182.15</v>
      </c>
      <c r="I65">
        <v>2668.38</v>
      </c>
      <c r="J65">
        <v>3107.81</v>
      </c>
      <c r="K65">
        <v>3594.02</v>
      </c>
    </row>
    <row r="66" spans="1:11" s="1" customFormat="1" x14ac:dyDescent="0.35">
      <c r="A66" s="1" t="s">
        <v>36</v>
      </c>
      <c r="C66">
        <v>353.14</v>
      </c>
      <c r="D66">
        <v>775.65</v>
      </c>
      <c r="E66">
        <v>1124.48</v>
      </c>
      <c r="F66">
        <v>1301.94</v>
      </c>
      <c r="G66">
        <v>2646.04</v>
      </c>
      <c r="H66">
        <v>2949.97</v>
      </c>
      <c r="I66">
        <v>3400.63</v>
      </c>
      <c r="J66">
        <v>3979.53</v>
      </c>
      <c r="K66">
        <v>4611.38</v>
      </c>
    </row>
    <row r="67" spans="1:11" s="6" customFormat="1" x14ac:dyDescent="0.35">
      <c r="A67" s="6" t="s">
        <v>41</v>
      </c>
      <c r="C67">
        <v>70.239999999999995</v>
      </c>
      <c r="D67">
        <v>57.92</v>
      </c>
      <c r="E67">
        <v>98.43</v>
      </c>
      <c r="F67">
        <v>76.64</v>
      </c>
      <c r="G67">
        <v>94.53</v>
      </c>
      <c r="H67">
        <v>163.53</v>
      </c>
      <c r="I67">
        <v>241.6</v>
      </c>
      <c r="J67">
        <v>246.61</v>
      </c>
      <c r="K67">
        <v>289.38</v>
      </c>
    </row>
    <row r="68" spans="1:11" x14ac:dyDescent="0.35">
      <c r="A68" s="6" t="s">
        <v>42</v>
      </c>
      <c r="C68">
        <v>117.72</v>
      </c>
      <c r="D68">
        <v>244.6</v>
      </c>
      <c r="E68">
        <v>445.34</v>
      </c>
      <c r="F68">
        <v>498.09</v>
      </c>
      <c r="G68">
        <v>875.62</v>
      </c>
      <c r="H68">
        <v>1005.14</v>
      </c>
      <c r="I68">
        <v>1192.05</v>
      </c>
      <c r="J68">
        <v>1417.54</v>
      </c>
      <c r="K68">
        <v>1642.16</v>
      </c>
    </row>
    <row r="69" spans="1:11" x14ac:dyDescent="0.35">
      <c r="A69" s="2" t="s">
        <v>43</v>
      </c>
      <c r="C69">
        <v>37.69</v>
      </c>
      <c r="D69">
        <v>11.94</v>
      </c>
      <c r="E69">
        <v>175.62</v>
      </c>
      <c r="F69">
        <v>247.67</v>
      </c>
      <c r="G69">
        <v>267.04000000000002</v>
      </c>
      <c r="H69">
        <v>148.74</v>
      </c>
      <c r="I69">
        <v>239.86</v>
      </c>
      <c r="J69">
        <v>217.15</v>
      </c>
      <c r="K69">
        <v>320.02999999999997</v>
      </c>
    </row>
    <row r="70" spans="1:11" x14ac:dyDescent="0.35">
      <c r="A70" s="2" t="s">
        <v>44</v>
      </c>
      <c r="C70">
        <v>13555681</v>
      </c>
      <c r="D70">
        <v>14242509</v>
      </c>
      <c r="E70">
        <v>14549077</v>
      </c>
      <c r="F70">
        <v>15057237</v>
      </c>
      <c r="G70">
        <v>474104876</v>
      </c>
      <c r="H70">
        <v>2852450000</v>
      </c>
      <c r="I70">
        <v>2855985609</v>
      </c>
      <c r="J70">
        <v>2859252483</v>
      </c>
    </row>
    <row r="71" spans="1:11" x14ac:dyDescent="0.35">
      <c r="A71" s="2" t="s">
        <v>45</v>
      </c>
    </row>
    <row r="72" spans="1:11" x14ac:dyDescent="0.35">
      <c r="A72" s="2" t="s">
        <v>46</v>
      </c>
      <c r="C72">
        <v>10</v>
      </c>
      <c r="D72">
        <v>10</v>
      </c>
      <c r="E72">
        <v>10</v>
      </c>
      <c r="F72">
        <v>10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47</v>
      </c>
    </row>
    <row r="81" spans="1:11" s="5" customFormat="1" x14ac:dyDescent="0.35">
      <c r="A81" s="3" t="s">
        <v>12</v>
      </c>
      <c r="B81" s="4"/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5">
      <c r="A82" s="6" t="s">
        <v>48</v>
      </c>
      <c r="C82">
        <v>-79.38</v>
      </c>
      <c r="D82">
        <v>-99.73</v>
      </c>
      <c r="E82">
        <v>6.15</v>
      </c>
      <c r="F82">
        <v>133.18</v>
      </c>
      <c r="G82">
        <v>-353.96</v>
      </c>
      <c r="H82">
        <v>-140.24</v>
      </c>
      <c r="I82">
        <v>0.25</v>
      </c>
      <c r="J82">
        <v>466.63</v>
      </c>
      <c r="K82">
        <v>644.29999999999995</v>
      </c>
    </row>
    <row r="83" spans="1:11" s="6" customFormat="1" x14ac:dyDescent="0.35">
      <c r="A83" s="6" t="s">
        <v>49</v>
      </c>
      <c r="C83">
        <v>30.57</v>
      </c>
      <c r="D83">
        <v>-161.94</v>
      </c>
      <c r="E83">
        <v>14.91</v>
      </c>
      <c r="F83">
        <v>-129.74</v>
      </c>
      <c r="G83">
        <v>-602.79</v>
      </c>
      <c r="H83">
        <v>139.58000000000001</v>
      </c>
      <c r="I83">
        <v>-10.11</v>
      </c>
      <c r="J83">
        <v>-205.43</v>
      </c>
      <c r="K83">
        <v>-158.94</v>
      </c>
    </row>
    <row r="84" spans="1:11" s="6" customFormat="1" x14ac:dyDescent="0.35">
      <c r="A84" s="6" t="s">
        <v>50</v>
      </c>
      <c r="C84">
        <v>81.94</v>
      </c>
      <c r="D84">
        <v>235.69</v>
      </c>
      <c r="E84">
        <v>68.72</v>
      </c>
      <c r="F84">
        <v>-37.72</v>
      </c>
      <c r="G84">
        <v>927.01</v>
      </c>
      <c r="H84">
        <v>4.87</v>
      </c>
      <c r="I84">
        <v>44.26</v>
      </c>
      <c r="J84">
        <v>-212.04</v>
      </c>
      <c r="K84">
        <v>-433.1</v>
      </c>
    </row>
    <row r="85" spans="1:11" s="1" customFormat="1" x14ac:dyDescent="0.35">
      <c r="A85" s="6" t="s">
        <v>51</v>
      </c>
      <c r="C85">
        <v>33.130000000000003</v>
      </c>
      <c r="D85">
        <v>-25.98</v>
      </c>
      <c r="E85">
        <v>89.78</v>
      </c>
      <c r="F85">
        <v>-34.28</v>
      </c>
      <c r="G85">
        <v>-29.74</v>
      </c>
      <c r="H85">
        <v>4.2</v>
      </c>
      <c r="I85">
        <v>34.4</v>
      </c>
      <c r="J85">
        <v>49.16</v>
      </c>
      <c r="K85">
        <v>52.26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52</v>
      </c>
      <c r="G90">
        <v>281.58999999999997</v>
      </c>
      <c r="H90">
        <v>124.25</v>
      </c>
      <c r="I90">
        <v>161.94999999999999</v>
      </c>
      <c r="J90">
        <v>179.08</v>
      </c>
      <c r="K90">
        <v>235</v>
      </c>
    </row>
    <row r="92" spans="1:11" s="1" customFormat="1" x14ac:dyDescent="0.35">
      <c r="A92" s="1" t="s">
        <v>53</v>
      </c>
    </row>
    <row r="93" spans="1:11" x14ac:dyDescent="0.35">
      <c r="A93" s="2" t="s">
        <v>54</v>
      </c>
      <c r="B93" s="7">
        <f>IF($B7&gt;0,(B70*B72/$B7)+SUM(C71:$K71),0)/10000000</f>
        <v>0</v>
      </c>
      <c r="C93" s="7">
        <v>8.1300000000000008</v>
      </c>
      <c r="D93" s="7">
        <v>8.5500000000000007</v>
      </c>
      <c r="E93" s="7">
        <v>8.73</v>
      </c>
      <c r="F93" s="7">
        <v>9.0299999999999994</v>
      </c>
      <c r="G93" s="7">
        <v>284.45999999999998</v>
      </c>
      <c r="H93" s="7">
        <v>285.24</v>
      </c>
      <c r="I93" s="7">
        <v>285.60000000000002</v>
      </c>
      <c r="J93" s="7">
        <v>285.93</v>
      </c>
      <c r="K93" s="7">
        <v>286.32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0BD7313-B3ED-46D2-B2BA-AE644036681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191A-6ABD-4239-AACF-388885404640}">
  <dimension ref="B2:K32"/>
  <sheetViews>
    <sheetView topLeftCell="A13" workbookViewId="0">
      <selection activeCell="B23" sqref="B23:B29"/>
    </sheetView>
  </sheetViews>
  <sheetFormatPr defaultRowHeight="14.5" x14ac:dyDescent="0.35"/>
  <cols>
    <col min="2" max="2" width="26" bestFit="1" customWidth="1"/>
  </cols>
  <sheetData>
    <row r="2" spans="2:11" x14ac:dyDescent="0.35">
      <c r="C2" s="8">
        <v>43160</v>
      </c>
      <c r="D2" s="8">
        <v>43525</v>
      </c>
      <c r="E2" s="8">
        <v>43891</v>
      </c>
      <c r="F2" s="8">
        <v>44256</v>
      </c>
      <c r="G2" s="8">
        <v>44621</v>
      </c>
      <c r="H2" s="8">
        <v>44986</v>
      </c>
      <c r="I2" s="8">
        <v>45352</v>
      </c>
      <c r="J2" s="8">
        <v>45717</v>
      </c>
      <c r="K2" s="8">
        <v>46082</v>
      </c>
    </row>
    <row r="3" spans="2:11" x14ac:dyDescent="0.35">
      <c r="B3" t="s">
        <v>111</v>
      </c>
      <c r="C3">
        <v>-79</v>
      </c>
      <c r="D3">
        <v>-100</v>
      </c>
      <c r="E3">
        <v>6</v>
      </c>
      <c r="F3">
        <v>133</v>
      </c>
      <c r="G3">
        <v>-354</v>
      </c>
      <c r="H3">
        <v>-140</v>
      </c>
      <c r="I3">
        <v>0</v>
      </c>
      <c r="J3">
        <v>467</v>
      </c>
      <c r="K3">
        <v>644</v>
      </c>
    </row>
    <row r="4" spans="2:11" x14ac:dyDescent="0.35">
      <c r="B4" t="s">
        <v>87</v>
      </c>
      <c r="C4">
        <v>-26</v>
      </c>
      <c r="D4">
        <v>29</v>
      </c>
      <c r="E4">
        <v>89</v>
      </c>
      <c r="F4">
        <v>186</v>
      </c>
      <c r="G4">
        <v>183</v>
      </c>
      <c r="H4">
        <v>284</v>
      </c>
      <c r="I4">
        <v>383</v>
      </c>
      <c r="J4">
        <v>505</v>
      </c>
      <c r="K4">
        <v>795</v>
      </c>
    </row>
    <row r="5" spans="2:11" x14ac:dyDescent="0.35">
      <c r="B5" t="s">
        <v>41</v>
      </c>
      <c r="C5">
        <v>-48</v>
      </c>
      <c r="D5">
        <v>7</v>
      </c>
      <c r="E5">
        <v>-40</v>
      </c>
      <c r="F5">
        <v>15</v>
      </c>
      <c r="G5">
        <v>-14</v>
      </c>
      <c r="H5">
        <v>-72</v>
      </c>
      <c r="I5">
        <v>-89</v>
      </c>
      <c r="J5">
        <v>-4</v>
      </c>
      <c r="K5">
        <v>-47</v>
      </c>
    </row>
    <row r="6" spans="2:11" x14ac:dyDescent="0.35">
      <c r="B6" t="s">
        <v>42</v>
      </c>
      <c r="C6">
        <v>-60</v>
      </c>
      <c r="D6">
        <v>-126</v>
      </c>
      <c r="E6">
        <v>-201</v>
      </c>
      <c r="F6">
        <v>-47</v>
      </c>
      <c r="G6">
        <v>-372</v>
      </c>
      <c r="H6">
        <v>-130</v>
      </c>
      <c r="I6">
        <v>-187</v>
      </c>
      <c r="J6">
        <v>-217</v>
      </c>
      <c r="K6">
        <v>-225</v>
      </c>
    </row>
    <row r="7" spans="2:11" x14ac:dyDescent="0.35">
      <c r="B7" t="s">
        <v>88</v>
      </c>
      <c r="C7">
        <v>55</v>
      </c>
      <c r="D7">
        <v>57</v>
      </c>
      <c r="E7">
        <v>132</v>
      </c>
      <c r="F7">
        <v>2</v>
      </c>
      <c r="G7">
        <v>41</v>
      </c>
      <c r="H7">
        <v>-99</v>
      </c>
      <c r="I7">
        <v>122</v>
      </c>
      <c r="J7">
        <v>246</v>
      </c>
      <c r="K7">
        <v>98</v>
      </c>
    </row>
    <row r="8" spans="2:11" x14ac:dyDescent="0.35">
      <c r="B8" t="s">
        <v>89</v>
      </c>
      <c r="C8">
        <v>-23</v>
      </c>
      <c r="D8">
        <v>-6</v>
      </c>
      <c r="E8">
        <v>-6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2:11" x14ac:dyDescent="0.35">
      <c r="B9" t="s">
        <v>90</v>
      </c>
      <c r="C9">
        <v>24</v>
      </c>
      <c r="D9">
        <v>-60</v>
      </c>
      <c r="E9">
        <v>37</v>
      </c>
      <c r="F9">
        <v>-9</v>
      </c>
      <c r="G9">
        <v>-121</v>
      </c>
      <c r="H9">
        <v>-29</v>
      </c>
      <c r="I9">
        <v>-97</v>
      </c>
      <c r="J9">
        <v>-4</v>
      </c>
      <c r="K9">
        <v>159</v>
      </c>
    </row>
    <row r="10" spans="2:11" x14ac:dyDescent="0.35">
      <c r="B10" t="s">
        <v>91</v>
      </c>
      <c r="C10">
        <v>-53</v>
      </c>
      <c r="D10">
        <v>-128</v>
      </c>
      <c r="E10">
        <v>-79</v>
      </c>
      <c r="F10">
        <v>-39</v>
      </c>
      <c r="G10">
        <v>-465</v>
      </c>
      <c r="H10">
        <v>-329</v>
      </c>
      <c r="I10">
        <v>-251</v>
      </c>
      <c r="J10">
        <v>21</v>
      </c>
      <c r="K10">
        <v>-15</v>
      </c>
    </row>
    <row r="11" spans="2:11" x14ac:dyDescent="0.35">
      <c r="B11" t="s">
        <v>92</v>
      </c>
      <c r="C11">
        <v>0</v>
      </c>
      <c r="D11">
        <v>0</v>
      </c>
      <c r="E11">
        <v>-4</v>
      </c>
      <c r="F11">
        <v>-13</v>
      </c>
      <c r="G11">
        <v>-72</v>
      </c>
      <c r="H11">
        <v>-95</v>
      </c>
      <c r="I11">
        <v>-131</v>
      </c>
      <c r="J11">
        <v>-60</v>
      </c>
      <c r="K11">
        <v>-135</v>
      </c>
    </row>
    <row r="12" spans="2:11" x14ac:dyDescent="0.35">
      <c r="B12" t="s">
        <v>112</v>
      </c>
      <c r="C12">
        <v>31</v>
      </c>
      <c r="D12">
        <v>-162</v>
      </c>
      <c r="E12">
        <v>15</v>
      </c>
      <c r="F12">
        <v>-130</v>
      </c>
      <c r="G12">
        <v>-603</v>
      </c>
      <c r="H12">
        <v>140</v>
      </c>
      <c r="I12">
        <v>-10</v>
      </c>
      <c r="J12">
        <v>-205</v>
      </c>
      <c r="K12">
        <v>-159</v>
      </c>
    </row>
    <row r="13" spans="2:11" x14ac:dyDescent="0.35">
      <c r="B13" t="s">
        <v>93</v>
      </c>
      <c r="C13">
        <v>-27</v>
      </c>
      <c r="D13">
        <v>-35</v>
      </c>
      <c r="E13">
        <v>-46</v>
      </c>
      <c r="F13">
        <v>-42</v>
      </c>
      <c r="G13">
        <v>-94</v>
      </c>
      <c r="H13">
        <v>-208</v>
      </c>
      <c r="I13">
        <v>-111</v>
      </c>
      <c r="J13">
        <v>-127</v>
      </c>
      <c r="K13">
        <v>-154</v>
      </c>
    </row>
    <row r="14" spans="2:11" x14ac:dyDescent="0.35">
      <c r="B14" t="s">
        <v>94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</row>
    <row r="15" spans="2:11" x14ac:dyDescent="0.35">
      <c r="B15" t="s">
        <v>95</v>
      </c>
      <c r="C15">
        <v>0</v>
      </c>
      <c r="D15">
        <v>-127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2:11" x14ac:dyDescent="0.35">
      <c r="B16" t="s">
        <v>96</v>
      </c>
      <c r="C16">
        <v>56</v>
      </c>
      <c r="D16">
        <v>0</v>
      </c>
      <c r="E16">
        <v>134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2:11" x14ac:dyDescent="0.35">
      <c r="B17" t="s">
        <v>97</v>
      </c>
      <c r="C17">
        <v>0</v>
      </c>
      <c r="D17">
        <v>0</v>
      </c>
      <c r="E17">
        <v>0</v>
      </c>
      <c r="F17">
        <v>4</v>
      </c>
      <c r="G17">
        <v>17</v>
      </c>
      <c r="H17">
        <v>18</v>
      </c>
      <c r="I17">
        <v>22</v>
      </c>
      <c r="J17">
        <v>10</v>
      </c>
      <c r="K17">
        <v>20</v>
      </c>
    </row>
    <row r="18" spans="2:11" x14ac:dyDescent="0.35">
      <c r="B18" t="s">
        <v>98</v>
      </c>
      <c r="C18">
        <v>0</v>
      </c>
      <c r="D18">
        <v>0</v>
      </c>
      <c r="E18">
        <v>0</v>
      </c>
      <c r="F18">
        <v>0</v>
      </c>
      <c r="G18">
        <v>-51</v>
      </c>
      <c r="H18">
        <v>-29</v>
      </c>
      <c r="I18">
        <v>0</v>
      </c>
      <c r="J18">
        <v>0</v>
      </c>
      <c r="K18">
        <v>0</v>
      </c>
    </row>
    <row r="19" spans="2:11" x14ac:dyDescent="0.35">
      <c r="B19" t="s">
        <v>99</v>
      </c>
      <c r="C19">
        <v>0</v>
      </c>
      <c r="D19">
        <v>0</v>
      </c>
      <c r="E19">
        <v>0</v>
      </c>
      <c r="F19">
        <v>0</v>
      </c>
      <c r="G19">
        <v>0</v>
      </c>
      <c r="H19">
        <v>-42</v>
      </c>
      <c r="I19">
        <v>0</v>
      </c>
      <c r="J19">
        <v>0</v>
      </c>
      <c r="K19">
        <v>0</v>
      </c>
    </row>
    <row r="20" spans="2:11" x14ac:dyDescent="0.35"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-29</v>
      </c>
      <c r="K20">
        <v>0</v>
      </c>
    </row>
    <row r="21" spans="2:11" x14ac:dyDescent="0.35">
      <c r="B21" t="s">
        <v>101</v>
      </c>
      <c r="C21">
        <v>1</v>
      </c>
      <c r="D21">
        <v>0</v>
      </c>
      <c r="E21">
        <v>-74</v>
      </c>
      <c r="F21">
        <v>-91</v>
      </c>
      <c r="G21">
        <v>-475</v>
      </c>
      <c r="H21">
        <v>400</v>
      </c>
      <c r="I21">
        <v>79</v>
      </c>
      <c r="J21">
        <v>-59</v>
      </c>
      <c r="K21">
        <v>-27</v>
      </c>
    </row>
    <row r="22" spans="2:11" x14ac:dyDescent="0.35">
      <c r="B22" t="s">
        <v>113</v>
      </c>
      <c r="C22">
        <v>82</v>
      </c>
      <c r="D22">
        <v>236</v>
      </c>
      <c r="E22">
        <v>69</v>
      </c>
      <c r="F22">
        <v>-38</v>
      </c>
      <c r="G22">
        <v>927</v>
      </c>
      <c r="H22">
        <v>5</v>
      </c>
      <c r="I22">
        <v>44</v>
      </c>
      <c r="J22">
        <v>-212</v>
      </c>
      <c r="K22">
        <v>-433</v>
      </c>
    </row>
    <row r="23" spans="2:11" x14ac:dyDescent="0.35">
      <c r="B23" t="s">
        <v>102</v>
      </c>
      <c r="C23">
        <v>0</v>
      </c>
      <c r="D23">
        <v>134</v>
      </c>
      <c r="E23">
        <v>104</v>
      </c>
      <c r="F23">
        <v>103</v>
      </c>
      <c r="G23">
        <v>873</v>
      </c>
      <c r="H23">
        <v>29</v>
      </c>
      <c r="I23">
        <v>17</v>
      </c>
      <c r="J23">
        <v>18</v>
      </c>
      <c r="K23">
        <v>39</v>
      </c>
    </row>
    <row r="24" spans="2:11" x14ac:dyDescent="0.35">
      <c r="B24" t="s">
        <v>103</v>
      </c>
      <c r="C24">
        <v>54</v>
      </c>
      <c r="D24">
        <v>143</v>
      </c>
      <c r="E24">
        <v>42</v>
      </c>
      <c r="F24">
        <v>2</v>
      </c>
      <c r="G24">
        <v>146</v>
      </c>
      <c r="H24">
        <v>127</v>
      </c>
      <c r="I24">
        <v>220</v>
      </c>
      <c r="J24">
        <v>277</v>
      </c>
      <c r="K24">
        <v>6</v>
      </c>
    </row>
    <row r="25" spans="2:11" x14ac:dyDescent="0.35">
      <c r="B25" t="s">
        <v>104</v>
      </c>
      <c r="C25">
        <v>0</v>
      </c>
      <c r="D25">
        <v>0</v>
      </c>
      <c r="E25">
        <v>0</v>
      </c>
      <c r="F25">
        <v>-82</v>
      </c>
      <c r="G25">
        <v>-1</v>
      </c>
      <c r="H25">
        <v>-1</v>
      </c>
      <c r="I25">
        <v>0</v>
      </c>
      <c r="J25">
        <v>0</v>
      </c>
      <c r="K25">
        <v>-214</v>
      </c>
    </row>
    <row r="26" spans="2:11" x14ac:dyDescent="0.35">
      <c r="B26" t="s">
        <v>105</v>
      </c>
      <c r="C26">
        <v>-7</v>
      </c>
      <c r="D26">
        <v>-26</v>
      </c>
      <c r="E26">
        <v>-44</v>
      </c>
      <c r="F26">
        <v>-31</v>
      </c>
      <c r="G26">
        <v>-46</v>
      </c>
      <c r="H26">
        <v>-68</v>
      </c>
      <c r="I26">
        <v>-87</v>
      </c>
      <c r="J26">
        <v>-106</v>
      </c>
      <c r="K26">
        <v>-119</v>
      </c>
    </row>
    <row r="27" spans="2:11" x14ac:dyDescent="0.35">
      <c r="B27" t="s">
        <v>106</v>
      </c>
      <c r="C27">
        <v>0</v>
      </c>
      <c r="D27">
        <v>-15</v>
      </c>
      <c r="E27">
        <v>-33</v>
      </c>
      <c r="F27">
        <v>-30</v>
      </c>
      <c r="G27">
        <v>-45</v>
      </c>
      <c r="H27">
        <v>-82</v>
      </c>
      <c r="I27">
        <v>-117</v>
      </c>
      <c r="J27">
        <v>-146</v>
      </c>
      <c r="K27">
        <v>-173</v>
      </c>
    </row>
    <row r="28" spans="2:11" x14ac:dyDescent="0.35">
      <c r="B28" t="s">
        <v>107</v>
      </c>
      <c r="C28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11" x14ac:dyDescent="0.35"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11</v>
      </c>
      <c r="J29">
        <v>-255</v>
      </c>
      <c r="K29">
        <v>29</v>
      </c>
    </row>
    <row r="30" spans="2:11" x14ac:dyDescent="0.35">
      <c r="B30" t="s">
        <v>51</v>
      </c>
      <c r="C30">
        <v>33</v>
      </c>
      <c r="D30">
        <v>-26</v>
      </c>
      <c r="E30">
        <v>90</v>
      </c>
      <c r="F30">
        <v>-34</v>
      </c>
      <c r="G30">
        <v>-30</v>
      </c>
      <c r="H30">
        <v>4</v>
      </c>
      <c r="I30">
        <v>34</v>
      </c>
      <c r="J30">
        <v>49</v>
      </c>
      <c r="K30">
        <v>52</v>
      </c>
    </row>
    <row r="31" spans="2:11" x14ac:dyDescent="0.35">
      <c r="B31" t="s">
        <v>109</v>
      </c>
      <c r="C31">
        <v>-106</v>
      </c>
      <c r="D31">
        <v>-135</v>
      </c>
      <c r="E31">
        <v>-40</v>
      </c>
      <c r="F31">
        <v>91</v>
      </c>
      <c r="G31">
        <v>-448</v>
      </c>
      <c r="H31">
        <v>-348</v>
      </c>
      <c r="I31">
        <v>-110</v>
      </c>
      <c r="J31">
        <v>339</v>
      </c>
      <c r="K31">
        <v>493</v>
      </c>
    </row>
    <row r="32" spans="2:11" x14ac:dyDescent="0.35">
      <c r="B32" t="s">
        <v>110</v>
      </c>
      <c r="C32" s="14">
        <v>2.98</v>
      </c>
      <c r="D32" s="14">
        <v>-4.78</v>
      </c>
      <c r="E32" s="14">
        <v>0.13</v>
      </c>
      <c r="F32" s="14">
        <v>0.92</v>
      </c>
      <c r="G32" s="14">
        <v>-1.72</v>
      </c>
      <c r="H32" s="14">
        <v>-0.18</v>
      </c>
      <c r="I32" s="14">
        <v>0.38</v>
      </c>
      <c r="J32" s="14">
        <v>1.1100000000000001</v>
      </c>
      <c r="K32" s="14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Financials&gt;</vt:lpstr>
      <vt:lpstr>HistoricalFS</vt:lpstr>
      <vt:lpstr>Ratio Analysis</vt:lpstr>
      <vt:lpstr>Forecasting</vt:lpstr>
      <vt:lpstr>Common Size Statements</vt:lpstr>
      <vt:lpstr>Peer Analysis</vt:lpstr>
      <vt:lpstr>WACC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2026-07-11T12:24:05Z</dcterms:created>
  <dcterms:modified xsi:type="dcterms:W3CDTF">2026-07-22T11:50:19Z</dcterms:modified>
</cp:coreProperties>
</file>